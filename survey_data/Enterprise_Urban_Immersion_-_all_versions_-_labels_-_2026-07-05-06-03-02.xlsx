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9"/>
  <workbookPr defaultThemeVersion="124226"/>
  <mc:AlternateContent xmlns:mc="http://schemas.openxmlformats.org/markup-compatibility/2006">
    <mc:Choice Requires="x15">
      <x15ac:absPath xmlns:x15ac="http://schemas.microsoft.com/office/spreadsheetml/2010/11/ac" url="/Users/shreyitsinha/Documents/Tiss_my/Sem IV/UFW/"/>
    </mc:Choice>
  </mc:AlternateContent>
  <xr:revisionPtr revIDLastSave="0" documentId="13_ncr:1_{D102BF54-91F0-8E43-9836-403216C8F1FE}" xr6:coauthVersionLast="47" xr6:coauthVersionMax="47" xr10:uidLastSave="{00000000-0000-0000-0000-000000000000}"/>
  <bookViews>
    <workbookView xWindow="0" yWindow="620" windowWidth="28800" windowHeight="17380" activeTab="1" xr2:uid="{00000000-000D-0000-FFFF-FFFF00000000}"/>
  </bookViews>
  <sheets>
    <sheet name="RAW" sheetId="2" r:id="rId1"/>
    <sheet name="Enterprise_Urban Immersion" sheetId="1" r:id="rId2"/>
  </sheets>
  <definedNames>
    <definedName name="_xlnm._FilterDatabase" localSheetId="1" hidden="1">'Enterprise_Urban Immersion'!$A$1:$BL$156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4" i="1" l="1"/>
  <c r="BN5" i="1"/>
  <c r="BN6" i="1"/>
  <c r="BN7" i="1"/>
  <c r="BN8" i="1"/>
  <c r="BN9" i="1"/>
  <c r="BN10" i="1"/>
  <c r="BN11" i="1"/>
  <c r="BN12" i="1"/>
  <c r="BN13" i="1"/>
  <c r="BN14" i="1"/>
  <c r="BN15" i="1"/>
  <c r="BN16" i="1"/>
  <c r="BN17" i="1"/>
  <c r="BN18" i="1"/>
  <c r="BN19" i="1"/>
  <c r="BN20" i="1"/>
  <c r="BN21" i="1"/>
  <c r="BN22" i="1"/>
  <c r="BN23" i="1"/>
  <c r="BN24" i="1"/>
  <c r="BN25" i="1"/>
  <c r="BN26" i="1"/>
  <c r="BN27" i="1"/>
  <c r="BN28" i="1"/>
  <c r="BN29" i="1"/>
  <c r="BN30" i="1"/>
  <c r="BN31" i="1"/>
  <c r="BN32" i="1"/>
  <c r="BN33" i="1"/>
  <c r="BN34" i="1"/>
  <c r="BN35" i="1"/>
  <c r="BN36" i="1"/>
  <c r="BN37" i="1"/>
  <c r="BN38" i="1"/>
  <c r="BN39" i="1"/>
  <c r="BN40" i="1"/>
  <c r="BN41" i="1"/>
  <c r="BN42" i="1"/>
  <c r="BN43" i="1"/>
  <c r="BN44" i="1"/>
  <c r="BN45" i="1"/>
  <c r="BN46" i="1"/>
  <c r="BN47" i="1"/>
  <c r="BN48" i="1"/>
  <c r="BN49" i="1"/>
  <c r="BN50" i="1"/>
  <c r="BN51" i="1"/>
  <c r="BN52" i="1"/>
  <c r="BN53" i="1"/>
  <c r="BN54" i="1"/>
  <c r="BN55" i="1"/>
  <c r="BN56" i="1"/>
  <c r="BN57" i="1"/>
  <c r="BN58" i="1"/>
  <c r="BN59" i="1"/>
  <c r="BN60" i="1"/>
  <c r="BN61" i="1"/>
  <c r="BN62" i="1"/>
  <c r="BN63" i="1"/>
  <c r="BN64" i="1"/>
  <c r="BN65" i="1"/>
  <c r="BN66" i="1"/>
  <c r="BN67" i="1"/>
  <c r="BN68" i="1"/>
  <c r="BN69" i="1"/>
  <c r="BN70" i="1"/>
  <c r="BN71" i="1"/>
  <c r="BN72" i="1"/>
  <c r="BN73" i="1"/>
  <c r="BN74" i="1"/>
  <c r="BN75" i="1"/>
  <c r="BN76" i="1"/>
  <c r="BN77" i="1"/>
  <c r="BN78" i="1"/>
  <c r="BN79" i="1"/>
  <c r="BN80" i="1"/>
  <c r="BN81" i="1"/>
  <c r="BN82" i="1"/>
  <c r="BN83" i="1"/>
  <c r="BN84" i="1"/>
  <c r="BN85" i="1"/>
  <c r="BN86" i="1"/>
  <c r="BN87" i="1"/>
  <c r="BN88" i="1"/>
  <c r="BN89" i="1"/>
  <c r="BN90" i="1"/>
  <c r="BN91" i="1"/>
  <c r="BN92" i="1"/>
  <c r="BN93" i="1"/>
  <c r="BN94" i="1"/>
  <c r="BN95" i="1"/>
  <c r="BN96" i="1"/>
  <c r="BN97" i="1"/>
  <c r="BN98" i="1"/>
  <c r="BN99" i="1"/>
  <c r="BN100" i="1"/>
  <c r="BN101" i="1"/>
  <c r="BN102" i="1"/>
  <c r="BN103" i="1"/>
  <c r="BN104" i="1"/>
  <c r="BN105" i="1"/>
  <c r="BN106" i="1"/>
  <c r="BN107" i="1"/>
  <c r="BN108" i="1"/>
  <c r="BN109" i="1"/>
  <c r="BN110" i="1"/>
  <c r="BN111" i="1"/>
  <c r="BN112" i="1"/>
  <c r="BN113" i="1"/>
  <c r="BN114" i="1"/>
  <c r="BN115" i="1"/>
  <c r="BN116" i="1"/>
  <c r="BN117" i="1"/>
  <c r="BN118" i="1"/>
  <c r="BN119" i="1"/>
  <c r="BN120" i="1"/>
  <c r="BN121" i="1"/>
  <c r="BN122" i="1"/>
  <c r="BN123" i="1"/>
  <c r="BN124" i="1"/>
  <c r="BN125" i="1"/>
  <c r="BN126" i="1"/>
  <c r="BN127" i="1"/>
  <c r="BN128" i="1"/>
  <c r="BN129" i="1"/>
  <c r="BN130" i="1"/>
  <c r="BN131" i="1"/>
  <c r="BN132" i="1"/>
  <c r="BN133" i="1"/>
  <c r="BN134" i="1"/>
  <c r="BN135" i="1"/>
  <c r="BN136" i="1"/>
  <c r="BN137" i="1"/>
  <c r="BN138" i="1"/>
  <c r="BN139" i="1"/>
  <c r="BN140" i="1"/>
  <c r="BN141" i="1"/>
  <c r="BN142" i="1"/>
  <c r="BN143" i="1"/>
  <c r="BN144" i="1"/>
  <c r="BN145" i="1"/>
  <c r="BN146" i="1"/>
  <c r="BN147" i="1"/>
  <c r="BN148" i="1"/>
  <c r="BN149" i="1"/>
  <c r="BN150" i="1"/>
  <c r="BN151" i="1"/>
  <c r="BN152" i="1"/>
  <c r="BN153" i="1"/>
  <c r="BN154" i="1"/>
  <c r="BN155" i="1"/>
  <c r="BN156" i="1"/>
  <c r="BN3" i="1"/>
  <c r="BN2" i="1"/>
  <c r="AX158" i="1"/>
  <c r="AY158" i="1"/>
  <c r="AZ158" i="1"/>
  <c r="BA158" i="1"/>
  <c r="BB158" i="1"/>
  <c r="BC158" i="1"/>
  <c r="BD158" i="1"/>
  <c r="BE158" i="1"/>
  <c r="BF158" i="1"/>
  <c r="BG158" i="1"/>
  <c r="BH158" i="1"/>
  <c r="BI158" i="1"/>
  <c r="BJ158" i="1"/>
  <c r="BK158" i="1"/>
  <c r="BL158" i="1"/>
  <c r="AL158" i="1"/>
  <c r="AM158" i="1"/>
  <c r="AN158" i="1"/>
  <c r="AO158" i="1"/>
  <c r="AP158" i="1"/>
  <c r="AQ158" i="1"/>
  <c r="AR158" i="1"/>
  <c r="AS158" i="1"/>
  <c r="AT158" i="1"/>
  <c r="AU158" i="1"/>
  <c r="AV158" i="1"/>
  <c r="AW158" i="1"/>
  <c r="V158" i="1"/>
  <c r="W158" i="1"/>
  <c r="X158" i="1"/>
  <c r="Y158" i="1"/>
  <c r="Z158" i="1"/>
  <c r="AA158" i="1"/>
  <c r="AB158" i="1"/>
  <c r="AC158" i="1"/>
  <c r="AD158" i="1"/>
  <c r="AE158" i="1"/>
  <c r="AF158" i="1"/>
  <c r="AG158" i="1"/>
  <c r="AH158" i="1"/>
  <c r="AI158" i="1"/>
  <c r="AJ158" i="1"/>
  <c r="AK158" i="1"/>
  <c r="A158" i="1"/>
  <c r="B158" i="1"/>
  <c r="C158" i="1"/>
  <c r="D158" i="1"/>
  <c r="E158" i="1"/>
  <c r="F158" i="1"/>
  <c r="G158" i="1"/>
  <c r="H158" i="1"/>
  <c r="I158" i="1"/>
  <c r="J158" i="1"/>
  <c r="K158" i="1"/>
  <c r="L158" i="1"/>
  <c r="M158" i="1"/>
  <c r="N158" i="1"/>
  <c r="O158" i="1"/>
  <c r="P158" i="1"/>
  <c r="Q158" i="1"/>
  <c r="R158" i="1"/>
  <c r="S158" i="1"/>
  <c r="T158" i="1"/>
  <c r="U158" i="1"/>
</calcChain>
</file>

<file path=xl/sharedStrings.xml><?xml version="1.0" encoding="utf-8"?>
<sst xmlns="http://schemas.openxmlformats.org/spreadsheetml/2006/main" count="4339" uniqueCount="634">
  <si>
    <t>start</t>
  </si>
  <si>
    <t>end</t>
  </si>
  <si>
    <t xml:space="preserve">This survey is done as part of the Urban Immersion program of BS Analytics and Sustainability Studies, 2024-28. Batch of Tata Institute of Social Sciences. This is part of the educational program and the data collected is strictly anonymous and the responses are not be used for any commercial purpose.   </t>
  </si>
  <si>
    <t>Do you give consent to be part of the Survey?</t>
  </si>
  <si>
    <t>Record your current location</t>
  </si>
  <si>
    <t>_Record your current location_latitude</t>
  </si>
  <si>
    <t>_Record your current location_longitude</t>
  </si>
  <si>
    <t>_Record your current location_altitude</t>
  </si>
  <si>
    <t>_Record your current location_precision</t>
  </si>
  <si>
    <t>Type of Enterprise</t>
  </si>
  <si>
    <t xml:space="preserve">If other, explain </t>
  </si>
  <si>
    <t xml:space="preserve">Is the owner of this business a resident of Nainital District? </t>
  </si>
  <si>
    <t>How many full-time employees are currently employed in your establishment?</t>
  </si>
  <si>
    <t>How many seasonal or temporary employees do you hire during peak tourist seasons?</t>
  </si>
  <si>
    <t>What is the number of employees that are residents of Nainital District?</t>
  </si>
  <si>
    <t>Are exclusive local handicrafts/artifacts available ?</t>
  </si>
  <si>
    <t xml:space="preserve">Does your enterprise have dustbins for waste collection? </t>
  </si>
  <si>
    <t>Does your enterprise have dustbins for waste collection? /Yes</t>
  </si>
  <si>
    <t>Does your enterprise have dustbins for waste collection? /No</t>
  </si>
  <si>
    <t>During tourist season, as the waste generation increases, how do you manage it?</t>
  </si>
  <si>
    <t xml:space="preserve">What's the primary source of your establishment's water supply? </t>
  </si>
  <si>
    <t xml:space="preserve">Source of Water </t>
  </si>
  <si>
    <t xml:space="preserve">What is your average monthly electricity bill during peak season (in rupees) ? </t>
  </si>
  <si>
    <t xml:space="preserve">What is your average monthly electricity bill during off season (in rupees) ? </t>
  </si>
  <si>
    <t>Does your establishment use solar panels or any other renewable energy source for water heating or electricity?</t>
  </si>
  <si>
    <t>Do you observe presence of Child Labour in the Enterprise ?</t>
  </si>
  <si>
    <t xml:space="preserve"> Do you actively promote Kumaoni culture to tourists? </t>
  </si>
  <si>
    <t xml:space="preserve">How many beds does your hotel have? </t>
  </si>
  <si>
    <t>What is the maximum number of guests your hotel can accommodate at one time? (Including Extra Beds)</t>
  </si>
  <si>
    <t xml:space="preserve"> Do you actively promote Kumaoni cuisine to tourists? </t>
  </si>
  <si>
    <t>What is the storage tanks capacity? (in litres)</t>
  </si>
  <si>
    <t xml:space="preserve">During peak season, have water constraints affected your ability to operate at full capacity? </t>
  </si>
  <si>
    <t>Explain the adjustment you make during water constraints?</t>
  </si>
  <si>
    <t xml:space="preserve">How does your establishment manage sewage? </t>
  </si>
  <si>
    <t>How does your establishment manage sewage? /Connected to municipal sewage line</t>
  </si>
  <si>
    <t>How does your establishment manage sewage? /Septic tank</t>
  </si>
  <si>
    <t>How does your establishment manage sewage? /Own sewage treatment plant</t>
  </si>
  <si>
    <t xml:space="preserve">How does your establishment manage sewage? /No system in place </t>
  </si>
  <si>
    <t>Yearly Sanitation Expenses</t>
  </si>
  <si>
    <t>Yearly Water Expenses</t>
  </si>
  <si>
    <t xml:space="preserve">How many hours a day do you receive water supply? </t>
  </si>
  <si>
    <t>Is hours of water supply different during peak season?</t>
  </si>
  <si>
    <t>Does your establishment have a backup diesel generator?</t>
  </si>
  <si>
    <t>Do you receive any government or institutional support (subsidies, welfare, training) during the off-season?</t>
  </si>
  <si>
    <t xml:space="preserve">What type of tourism-related business do you operate? </t>
  </si>
  <si>
    <t>Are exclusive local handicrafts/artifacts available? If yes, what type?</t>
  </si>
  <si>
    <t>What cultural elements do you promote? (Festivals, heritage sites, folk traditions)</t>
  </si>
  <si>
    <t xml:space="preserve">Does your hotel separate dry and wet waste? </t>
  </si>
  <si>
    <t>Does your hotel separate dry and wet waste? /Yes</t>
  </si>
  <si>
    <t>Does your hotel separate dry and wet waste? /No</t>
  </si>
  <si>
    <t xml:space="preserve">If yes then, what channels do you use? </t>
  </si>
  <si>
    <t>If yes then, what channels do you use? /Social Media</t>
  </si>
  <si>
    <t>If yes then, what channels do you use? /Websites</t>
  </si>
  <si>
    <t>If yes then, what channels do you use? /Banners &amp; Brochures</t>
  </si>
  <si>
    <t>If yes then, what channels do you use? /Others</t>
  </si>
  <si>
    <t>What’s the frequency of the waste collection during Peak Season?</t>
  </si>
  <si>
    <t>What’s the frequency of the waste collection during Off Season?</t>
  </si>
  <si>
    <t>If others, explain</t>
  </si>
  <si>
    <t xml:space="preserve">Does your enterprise have a rainwater harvesting system? </t>
  </si>
  <si>
    <t>How many water storage tanks does your establishment have?</t>
  </si>
  <si>
    <t>Is there water shortage during peak tourist season?</t>
  </si>
  <si>
    <t>How much water is consumed in a day (in litres) ?</t>
  </si>
  <si>
    <t>How much water can it store roughly? (in litres)</t>
  </si>
  <si>
    <t>Would you be open to installing or improving a rainwater system if you do not have one?</t>
  </si>
  <si>
    <t xml:space="preserve">Does your hotel reuse water from sinks or laundry in any way? </t>
  </si>
  <si>
    <t>How many days in a month do you face water shortage?</t>
  </si>
  <si>
    <t xml:space="preserve"> Is water shortage worse during peak season?</t>
  </si>
  <si>
    <t>_id</t>
  </si>
  <si>
    <t>_uuid</t>
  </si>
  <si>
    <t>_submission_time</t>
  </si>
  <si>
    <t>_validation_status</t>
  </si>
  <si>
    <t>_notes</t>
  </si>
  <si>
    <t>_status</t>
  </si>
  <si>
    <t>_submitted_by</t>
  </si>
  <si>
    <t>__version__</t>
  </si>
  <si>
    <t>_tags</t>
  </si>
  <si>
    <t>meta/rootUuid</t>
  </si>
  <si>
    <t>_index</t>
  </si>
  <si>
    <t>Yes</t>
  </si>
  <si>
    <t>Travel Agency</t>
  </si>
  <si>
    <t>Municipal Water Supply</t>
  </si>
  <si>
    <t>No</t>
  </si>
  <si>
    <t>Not at all</t>
  </si>
  <si>
    <t>Connected to municipal sewage line</t>
  </si>
  <si>
    <t>Social Media Banners &amp; Brochures</t>
  </si>
  <si>
    <t>77ab2b6c-e2c1-4a90-bda4-03b8acb08e72</t>
  </si>
  <si>
    <t>submitted_via_web</t>
  </si>
  <si>
    <t>vFgy6gHkfuHC3XamkbKqFN</t>
  </si>
  <si>
    <t>uuid:77ab2b6c-e2c1-4a90-bda4-03b8acb08e72</t>
  </si>
  <si>
    <t>Other</t>
  </si>
  <si>
    <t>Parlour/Saloon</t>
  </si>
  <si>
    <t>No hinderence as Municipal waste truck comes 3 times a day</t>
  </si>
  <si>
    <t>Minor adjustments</t>
  </si>
  <si>
    <t>None</t>
  </si>
  <si>
    <t>Others</t>
  </si>
  <si>
    <t>7bb6abd9-5a5a-45aa-9161-5d3990108eab</t>
  </si>
  <si>
    <t>uuid:7bb6abd9-5a5a-45aa-9161-5d3990108eab</t>
  </si>
  <si>
    <t>Restaurant/Cafe</t>
  </si>
  <si>
    <t xml:space="preserve">Yes </t>
  </si>
  <si>
    <t>Municipality garbage</t>
  </si>
  <si>
    <t>bf335eeb-9634-4714-afd0-a8805b6534f0</t>
  </si>
  <si>
    <t>uuid:bf335eeb-9634-4714-afd0-a8805b6534f0</t>
  </si>
  <si>
    <t>Retail Shop</t>
  </si>
  <si>
    <t>Social Media</t>
  </si>
  <si>
    <t>34dde2bb-9764-4b99-939b-cba301d1d487</t>
  </si>
  <si>
    <t>uuid:34dde2bb-9764-4b99-939b-cba301d1d487</t>
  </si>
  <si>
    <t>Hotel/Resort</t>
  </si>
  <si>
    <t>Government trash cars</t>
  </si>
  <si>
    <t>028a3cbd-08e2-45ec-851c-fe57a279d9af</t>
  </si>
  <si>
    <t>uuid:028a3cbd-08e2-45ec-851c-fe57a279d9af</t>
  </si>
  <si>
    <t>Pickup trash</t>
  </si>
  <si>
    <t>cc0fd0a4-6167-4322-a09d-ddc40311618e</t>
  </si>
  <si>
    <t>uuid:cc0fd0a4-6167-4322-a09d-ddc40311618e</t>
  </si>
  <si>
    <t>Waste collection vehicles collects twice a day</t>
  </si>
  <si>
    <t>Had to refuse guests</t>
  </si>
  <si>
    <t>Cuisine</t>
  </si>
  <si>
    <t>Banners &amp; Brochures</t>
  </si>
  <si>
    <t>bdfb642f-160e-4748-a715-ca9cfcdf8922</t>
  </si>
  <si>
    <t>uuid:bdfb642f-160e-4748-a715-ca9cfcdf8922</t>
  </si>
  <si>
    <t>Municipal one</t>
  </si>
  <si>
    <t>0371d8e3-c67c-42b7-926c-4c707601edfd</t>
  </si>
  <si>
    <t>uuid:0371d8e3-c67c-42b7-926c-4c707601edfd</t>
  </si>
  <si>
    <t>e38e4f61-f054-4642-a884-bed1a9bdbe93</t>
  </si>
  <si>
    <t>uuid:e38e4f61-f054-4642-a884-bed1a9bdbe93</t>
  </si>
  <si>
    <t>Garbage collection and wet componste</t>
  </si>
  <si>
    <t>dbde9bf7-4928-4648-8f11-256932abf139</t>
  </si>
  <si>
    <t>uuid:dbde9bf7-4928-4648-8f11-256932abf139</t>
  </si>
  <si>
    <t>42430d94-0621-4f93-9ba4-6861b7c184d2</t>
  </si>
  <si>
    <t>uuid:42430d94-0621-4f93-9ba4-6861b7c184d2</t>
  </si>
  <si>
    <t>Waste Collection happens regularly/multiple times.</t>
  </si>
  <si>
    <t>NA</t>
  </si>
  <si>
    <t>c019c7b1-de96-457f-9470-6e6edeca2a51</t>
  </si>
  <si>
    <t>uuid:c019c7b1-de96-457f-9470-6e6edeca2a51</t>
  </si>
  <si>
    <t>Multiple dustbins</t>
  </si>
  <si>
    <t xml:space="preserve">No system in place </t>
  </si>
  <si>
    <t>Traditionan</t>
  </si>
  <si>
    <t>1ead8997-a74b-40b8-a20f-0a96e921523d</t>
  </si>
  <si>
    <t>uuid:1ead8997-a74b-40b8-a20f-0a96e921523d</t>
  </si>
  <si>
    <t>Municipal Corporation</t>
  </si>
  <si>
    <t>5054eef2-dea3-4a39-a28f-ff7a2e76c07c</t>
  </si>
  <si>
    <t>uuid:5054eef2-dea3-4a39-a28f-ff7a2e76c07c</t>
  </si>
  <si>
    <t>Govt body</t>
  </si>
  <si>
    <t>Significant reduction</t>
  </si>
  <si>
    <t>572bc82f-6f4c-4273-aa48-feabdab85118</t>
  </si>
  <si>
    <t>uuid:572bc82f-6f4c-4273-aa48-feabdab85118</t>
  </si>
  <si>
    <t>5b6e6180-c986-4092-afd8-783105870ffc</t>
  </si>
  <si>
    <t>uuid:5b6e6180-c986-4092-afd8-783105870ffc</t>
  </si>
  <si>
    <t>Candles</t>
  </si>
  <si>
    <t>73219698-55f2-4174-8eb7-094e8a263999</t>
  </si>
  <si>
    <t>uuid:73219698-55f2-4174-8eb7-094e8a263999</t>
  </si>
  <si>
    <t>Not required</t>
  </si>
  <si>
    <t xml:space="preserve">Connected to municipal sewage line No system in place </t>
  </si>
  <si>
    <t>Local flower squash</t>
  </si>
  <si>
    <t>Social Media Websites Banners &amp; Brochures</t>
  </si>
  <si>
    <t>6f433e16-871f-45c6-be6e-9eff6b22c133</t>
  </si>
  <si>
    <t>uuid:6f433e16-871f-45c6-be6e-9eff6b22c133</t>
  </si>
  <si>
    <t>f8592916-cb96-42da-a6ba-e30110de4f5c</t>
  </si>
  <si>
    <t>uuid:f8592916-cb96-42da-a6ba-e30110de4f5c</t>
  </si>
  <si>
    <t>5f627ddb-5077-4806-a8c7-b5cd0156d431</t>
  </si>
  <si>
    <t>uuid:5f627ddb-5077-4806-a8c7-b5cd0156d431</t>
  </si>
  <si>
    <t>Municipal</t>
  </si>
  <si>
    <t>Shawls</t>
  </si>
  <si>
    <t>40642c7d-a4ae-475b-9306-3cb67ce00631</t>
  </si>
  <si>
    <t>uuid:40642c7d-a4ae-475b-9306-3cb67ce00631</t>
  </si>
  <si>
    <t>Collect and throw and ask tourists to throw garbage in dustbins</t>
  </si>
  <si>
    <t>2b34227b-685e-4a15-9f65-bd93ef0a0439</t>
  </si>
  <si>
    <t>uuid:2b34227b-685e-4a15-9f65-bd93ef0a0439</t>
  </si>
  <si>
    <t>fa310279-a5eb-4229-8125-3ef5ee9ee26a</t>
  </si>
  <si>
    <t>uuid:fa310279-a5eb-4229-8125-3ef5ee9ee26a</t>
  </si>
  <si>
    <t>extra dustbins</t>
  </si>
  <si>
    <t>Festivals, Heritage sites</t>
  </si>
  <si>
    <t>5ab3ff83-3e1a-4056-b404-56139eee23e5</t>
  </si>
  <si>
    <t>uuid:5ab3ff83-3e1a-4056-b404-56139eee23e5</t>
  </si>
  <si>
    <t>waste management company municipal</t>
  </si>
  <si>
    <t>folk traditions</t>
  </si>
  <si>
    <t>521b8711-ed6a-4685-a04a-5adbe9eda156</t>
  </si>
  <si>
    <t>uuid:521b8711-ed6a-4685-a04a-5adbe9eda156</t>
  </si>
  <si>
    <t>f8bf6bad-5601-425f-b8a7-7f5b41d42fea</t>
  </si>
  <si>
    <t>uuid:f8bf6bad-5601-425f-b8a7-7f5b41d42fea</t>
  </si>
  <si>
    <t>d3b59027-70b3-4ff3-a9c8-963f36949b1f</t>
  </si>
  <si>
    <t>uuid:d3b59027-70b3-4ff3-a9c8-963f36949b1f</t>
  </si>
  <si>
    <t>6bf20311-cfea-4a8a-945f-8483cfd0041c</t>
  </si>
  <si>
    <t>uuid:6bf20311-cfea-4a8a-945f-8483cfd0041c</t>
  </si>
  <si>
    <t>Municipal waste vehicle</t>
  </si>
  <si>
    <t>cef18f07-b325-41fc-83e5-87711840e41f</t>
  </si>
  <si>
    <t>uuid:cef18f07-b325-41fc-83e5-87711840e41f</t>
  </si>
  <si>
    <t>Municipal Board</t>
  </si>
  <si>
    <t>Festivals</t>
  </si>
  <si>
    <t>7d9d39c1-cf35-4255-9346-6765cd32beba</t>
  </si>
  <si>
    <t>uuid:7d9d39c1-cf35-4255-9346-6765cd32beba</t>
  </si>
  <si>
    <t>Municipality</t>
  </si>
  <si>
    <t>Heritage site</t>
  </si>
  <si>
    <t>f4bba139-b512-445d-ab1b-3d7134a43750</t>
  </si>
  <si>
    <t>uuid:f4bba139-b512-445d-ab1b-3d7134a43750</t>
  </si>
  <si>
    <t>Municipalities take it</t>
  </si>
  <si>
    <t>40f33c04-d9b6-4f9a-bba3-2102b7b8af14</t>
  </si>
  <si>
    <t>uuid:40f33c04-d9b6-4f9a-bba3-2102b7b8af14</t>
  </si>
  <si>
    <t>aaac70e8-6de6-4b7a-ba63-4f03b70f55ce</t>
  </si>
  <si>
    <t>uuid:aaac70e8-6de6-4b7a-ba63-4f03b70f55ce</t>
  </si>
  <si>
    <t>Municipal vehicle</t>
  </si>
  <si>
    <t>441a1b83-0991-44a4-9045-2ccf7200bac7</t>
  </si>
  <si>
    <t>uuid:441a1b83-0991-44a4-9045-2ccf7200bac7</t>
  </si>
  <si>
    <t>Three times a day waste is collected</t>
  </si>
  <si>
    <t>No culture</t>
  </si>
  <si>
    <t>bdfdb425-df79-44ad-a245-c00c3a57e397</t>
  </si>
  <si>
    <t>uuid:bdfdb425-df79-44ad-a245-c00c3a57e397</t>
  </si>
  <si>
    <t>f9e52e30-b36e-4e3a-9334-58e545a1913b</t>
  </si>
  <si>
    <t>uuid:f9e52e30-b36e-4e3a-9334-58e545a1913b</t>
  </si>
  <si>
    <t>Municipal, takes 550 months</t>
  </si>
  <si>
    <t>Social Media Websites</t>
  </si>
  <si>
    <t>391fe3cd-1de6-4f37-882c-86bb20bbbef2</t>
  </si>
  <si>
    <t>uuid:391fe3cd-1de6-4f37-882c-86bb20bbbef2</t>
  </si>
  <si>
    <t>Daily tracking sheet, Segregation into plastics , Recyclable, Converting waste into manure , Subscription to Municipal</t>
  </si>
  <si>
    <t>Pahadi cap as welcoming , Welcoming juice , kumao cuisine</t>
  </si>
  <si>
    <t>e9dcdba9-f532-4aed-a346-4f4a03f58603</t>
  </si>
  <si>
    <t>uuid:e9dcdba9-f532-4aed-a346-4f4a03f58603</t>
  </si>
  <si>
    <t>Municipality garbage trucks for collection of wastes</t>
  </si>
  <si>
    <t>Holi,dashera,Nanda devi</t>
  </si>
  <si>
    <t>Websites Banners &amp; Brochures</t>
  </si>
  <si>
    <t>8f335b4b-6336-4fd4-a75a-c2d6263d627e</t>
  </si>
  <si>
    <t>uuid:8f335b4b-6336-4fd4-a75a-c2d6263d627e</t>
  </si>
  <si>
    <t>Collection happens on a regular basis so no problem</t>
  </si>
  <si>
    <t>4a4b5af2-95fa-4778-a43d-8cf75aba4eb2</t>
  </si>
  <si>
    <t>uuid:4a4b5af2-95fa-4778-a43d-8cf75aba4eb2</t>
  </si>
  <si>
    <t>Nil</t>
  </si>
  <si>
    <t>1a08fef6-61ee-4bd1-9c16-3a91aa38312f</t>
  </si>
  <si>
    <t>uuid:1a08fef6-61ee-4bd1-9c16-3a91aa38312f</t>
  </si>
  <si>
    <t>800 rupees per month</t>
  </si>
  <si>
    <t>Non</t>
  </si>
  <si>
    <t>3302ebce-c78c-4369-883e-82c44839683b</t>
  </si>
  <si>
    <t>uuid:3302ebce-c78c-4369-883e-82c44839683b</t>
  </si>
  <si>
    <t>Collection at day end</t>
  </si>
  <si>
    <t>b14ad4a9-34c1-4c92-a1bc-ae38e8de306f</t>
  </si>
  <si>
    <t>uuid:b14ad4a9-34c1-4c92-a1bc-ae38e8de306f</t>
  </si>
  <si>
    <t>Yes , the garbage trucks collect it</t>
  </si>
  <si>
    <t>Culture in generally ( harayla festival )</t>
  </si>
  <si>
    <t>3685d9f9-331b-4e35-81c8-0ce8bc9ffe16</t>
  </si>
  <si>
    <t>uuid:3685d9f9-331b-4e35-81c8-0ce8bc9ffe16</t>
  </si>
  <si>
    <t>Garbage truck</t>
  </si>
  <si>
    <t>Heritage sites , festivals , traveling points</t>
  </si>
  <si>
    <t>917b3ecb-05bb-4fb5-86f5-10616d15a05a</t>
  </si>
  <si>
    <t>uuid:917b3ecb-05bb-4fb5-86f5-10616d15a05a</t>
  </si>
  <si>
    <t>b210759a-bc94-4819-a6a1-4f47c62dc670</t>
  </si>
  <si>
    <t>uuid:b210759a-bc94-4819-a6a1-4f47c62dc670</t>
  </si>
  <si>
    <t>Manage via dustbin</t>
  </si>
  <si>
    <t>4acb5415-ac0f-4cd8-a0fe-38f9d3d22f0b</t>
  </si>
  <si>
    <t>uuid:4acb5415-ac0f-4cd8-a0fe-38f9d3d22f0b</t>
  </si>
  <si>
    <t>Nothing</t>
  </si>
  <si>
    <t>a2569a69-c6ca-48b2-b4e0-0e012b5a3d1b</t>
  </si>
  <si>
    <t>uuid:a2569a69-c6ca-48b2-b4e0-0e012b5a3d1b</t>
  </si>
  <si>
    <t>432b5d4c-76c7-4d0f-8df0-f387e718058b</t>
  </si>
  <si>
    <t>uuid:432b5d4c-76c7-4d0f-8df0-f387e718058b</t>
  </si>
  <si>
    <t>Government retailer</t>
  </si>
  <si>
    <t>Art and heritage through exhibition</t>
  </si>
  <si>
    <t>Social Media Websites Banners &amp; Brochures Others</t>
  </si>
  <si>
    <t>e6f734fe-ef90-48c8-b26e-316c6a98e080</t>
  </si>
  <si>
    <t>uuid:e6f734fe-ef90-48c8-b26e-316c6a98e080</t>
  </si>
  <si>
    <t>Deposit in big dustbin</t>
  </si>
  <si>
    <t>898dae94-7a3f-4f74-bdd7-c6c5e331e990</t>
  </si>
  <si>
    <t>uuid:898dae94-7a3f-4f74-bdd7-c6c5e331e990</t>
  </si>
  <si>
    <t>cad8d972-480c-436b-ac90-3d7006964197</t>
  </si>
  <si>
    <t>uuid:cad8d972-480c-436b-ac90-3d7006964197</t>
  </si>
  <si>
    <t>Municipal waste collection</t>
  </si>
  <si>
    <t>b9af31de-7d3d-4e07-8e8a-e3d033dd793b</t>
  </si>
  <si>
    <t>uuid:b9af31de-7d3d-4e07-8e8a-e3d033dd793b</t>
  </si>
  <si>
    <t>2b05ab2c-0221-4fbe-82f1-6ac8d1819193</t>
  </si>
  <si>
    <t>uuid:2b05ab2c-0221-4fbe-82f1-6ac8d1819193</t>
  </si>
  <si>
    <t>Homestay</t>
  </si>
  <si>
    <t>Municipal garbage truck</t>
  </si>
  <si>
    <t>Festivals heritage</t>
  </si>
  <si>
    <t>dbb663b2-5d40-4638-aedf-a20fa5a9485b</t>
  </si>
  <si>
    <t>uuid:dbb663b2-5d40-4638-aedf-a20fa5a9485b</t>
  </si>
  <si>
    <t>Car rental</t>
  </si>
  <si>
    <t>a8f86595-41aa-49bc-a0d1-3e48730a7bac</t>
  </si>
  <si>
    <t>uuid:a8f86595-41aa-49bc-a0d1-3e48730a7bac</t>
  </si>
  <si>
    <t>29.390826 79.457109 1905.9000244140625 12.220999717712402</t>
  </si>
  <si>
    <t>No significant change, the municipal truck comes same as always to collect waste</t>
  </si>
  <si>
    <t>No significant changes, able to manage most of the time as  municipal people inform in advance. They are able to manage with the tank capacity. Very rarely have had to make some adjustments like refusing tourists. No significant change.</t>
  </si>
  <si>
    <t>0011fde6-b7bb-4604-875c-397abacd0ff0</t>
  </si>
  <si>
    <t>vaQv9WUVF6SUZvdBfQukJJ</t>
  </si>
  <si>
    <t>uuid:0011fde6-b7bb-4604-875c-397abacd0ff0</t>
  </si>
  <si>
    <t>Municipal waste</t>
  </si>
  <si>
    <t>efa1c941-377e-41f1-a321-f60fd87ffa89</t>
  </si>
  <si>
    <t>uuid:efa1c941-377e-41f1-a321-f60fd87ffa89</t>
  </si>
  <si>
    <t>29.391566 79.456182 1906.0999755859375 22.18000030517578</t>
  </si>
  <si>
    <t>5a058ae5-8927-4fd4-aa19-053ef75e47c2</t>
  </si>
  <si>
    <t>uuid:5a058ae5-8927-4fd4-aa19-053ef75e47c2</t>
  </si>
  <si>
    <t>0</t>
  </si>
  <si>
    <t>b50e10b3-cccb-4df0-a7d0-269f04fc4cca</t>
  </si>
  <si>
    <t>uuid:b50e10b3-cccb-4df0-a7d0-269f04fc4cca</t>
  </si>
  <si>
    <t>29.384229 79.463293 1903 56.099998474121094</t>
  </si>
  <si>
    <t>Water stocking,</t>
  </si>
  <si>
    <t>165204ff-880e-4689-9642-3f07ca0bba3e</t>
  </si>
  <si>
    <t>uuid:165204ff-880e-4689-9642-3f07ca0bba3e</t>
  </si>
  <si>
    <t>29.380068 79.463555 1944.1463432810094 20.14255683316292</t>
  </si>
  <si>
    <t>7e2d58a5-004b-4026-8f0f-0f1e913133d3</t>
  </si>
  <si>
    <t>uuid:7e2d58a5-004b-4026-8f0f-0f1e913133d3</t>
  </si>
  <si>
    <t>800057fc-6d2e-4779-8b6a-42f41064da1c</t>
  </si>
  <si>
    <t>uuid:800057fc-6d2e-4779-8b6a-42f41064da1c</t>
  </si>
  <si>
    <t>29.39141 79.456257 1904.800048828125 21.56399917602539</t>
  </si>
  <si>
    <t>341c334e-e97a-4186-ac4d-939cbb5092f4</t>
  </si>
  <si>
    <t>uuid:341c334e-e97a-4186-ac4d-939cbb5092f4</t>
  </si>
  <si>
    <t>29.391463 79.456188 1904.800048828125 12.61299991607666</t>
  </si>
  <si>
    <t>Yes No</t>
  </si>
  <si>
    <t>Na</t>
  </si>
  <si>
    <t>67e2f3da-6492-48e8-8a81-45dc0992924e</t>
  </si>
  <si>
    <t>uuid:67e2f3da-6492-48e8-8a81-45dc0992924e</t>
  </si>
  <si>
    <t>Chinese, Vietnamese, regular</t>
  </si>
  <si>
    <t>8b35e4ba-6428-48f7-b52b-9ba10e1228b0</t>
  </si>
  <si>
    <t>uuid:8b35e4ba-6428-48f7-b52b-9ba10e1228b0</t>
  </si>
  <si>
    <t>29.384671 79.463929 1934.4000244140625 12.63599967956543</t>
  </si>
  <si>
    <t>b50293c2-d782-45eb-9bf3-3d7156958f5b</t>
  </si>
  <si>
    <t>uuid:b50293c2-d782-45eb-9bf3-3d7156958f5b</t>
  </si>
  <si>
    <t>More storage</t>
  </si>
  <si>
    <t>6dabc572-c06d-4282-8997-dc08698059b6</t>
  </si>
  <si>
    <t>uuid:6dabc572-c06d-4282-8997-dc08698059b6</t>
  </si>
  <si>
    <t>29.391732 79.455806 1908.9000244140625 25.631999969482422</t>
  </si>
  <si>
    <t>8aa24358-5c36-4b06-ab2a-e2250ec8fed5</t>
  </si>
  <si>
    <t>uuid:8aa24358-5c36-4b06-ab2a-e2250ec8fed5</t>
  </si>
  <si>
    <t>29.389995 79.455221 1942.4693642726968 15.095014</t>
  </si>
  <si>
    <t>No increase constant as it is a rickshaw repair shop</t>
  </si>
  <si>
    <t>71058b1c-3128-436e-a37a-265261ed41b0</t>
  </si>
  <si>
    <t>uuid:71058b1c-3128-436e-a37a-265261ed41b0</t>
  </si>
  <si>
    <t>29.391285 79.455644 1948.4754971656687 23.88906019444724</t>
  </si>
  <si>
    <t>Not as such</t>
  </si>
  <si>
    <t>ed2c996c-c17e-40ee-947b-98420408a3e5</t>
  </si>
  <si>
    <t>uuid:ed2c996c-c17e-40ee-947b-98420408a3e5</t>
  </si>
  <si>
    <t>29.39009 79.455873 1944.3754980245783 64.03557035842381</t>
  </si>
  <si>
    <t>Video game shop</t>
  </si>
  <si>
    <t>No waste</t>
  </si>
  <si>
    <t>92556e1b-1b8b-4de3-8bfa-0449274dfb75</t>
  </si>
  <si>
    <t>uuid:92556e1b-1b8b-4de3-8bfa-0449274dfb75</t>
  </si>
  <si>
    <t>29.390384 79.455691 1944.7161490029873 48.67061512058274</t>
  </si>
  <si>
    <t>Video Game Parlour</t>
  </si>
  <si>
    <t>No increase</t>
  </si>
  <si>
    <t>91cbf04f-c32c-4539-a0f4-5d88a3e06dfa</t>
  </si>
  <si>
    <t>uuid:91cbf04f-c32c-4539-a0f4-5d88a3e06dfa</t>
  </si>
  <si>
    <t>29.391845 79.455709 1909.5 17.538000106811523</t>
  </si>
  <si>
    <t>5e1d2a6a-c26b-474b-9201-36e8171150d9</t>
  </si>
  <si>
    <t>uuid:5e1d2a6a-c26b-474b-9201-36e8171150d9</t>
  </si>
  <si>
    <t>29.387154 79.461941 1911.300048828125 12.61400032043457</t>
  </si>
  <si>
    <t>Large collection</t>
  </si>
  <si>
    <t>Tanker,stock</t>
  </si>
  <si>
    <t>fa7459ee-794a-45e0-bcc7-a5413dd328bc</t>
  </si>
  <si>
    <t>uuid:fa7459ee-794a-45e0-bcc7-a5413dd328bc</t>
  </si>
  <si>
    <t>We put more dustbins outside our our own restaurant, we also segregate it more then</t>
  </si>
  <si>
    <t>7e602927-a420-47d0-a445-b52c66a2c57e</t>
  </si>
  <si>
    <t>uuid:7e602927-a420-47d0-a445-b52c66a2c57e</t>
  </si>
  <si>
    <t>29.390523 79.455393 1945.434250421332 43.70922006148457</t>
  </si>
  <si>
    <t>Extra dustbin</t>
  </si>
  <si>
    <t>94929003-3a4e-412d-a6b8-289dcf7f04fe</t>
  </si>
  <si>
    <t>uuid:94929003-3a4e-412d-a6b8-289dcf7f04fe</t>
  </si>
  <si>
    <t>No excess waste</t>
  </si>
  <si>
    <t>713eda84-a8cb-42fa-91fa-8dfe04ca7386</t>
  </si>
  <si>
    <t>uuid:713eda84-a8cb-42fa-91fa-8dfe04ca7386</t>
  </si>
  <si>
    <t>29.390751 79.457665 1905.5999755859375 11.456000328063965</t>
  </si>
  <si>
    <t>Not much increase in waste  whatever waste is generated is donated end of year</t>
  </si>
  <si>
    <t>47c7b57b-6adb-43bf-924b-3e26e9d69ddc</t>
  </si>
  <si>
    <t>uuid:47c7b57b-6adb-43bf-924b-3e26e9d69ddc</t>
  </si>
  <si>
    <t>29.39085 79.457429 1906.300048828125 16.23900032043457</t>
  </si>
  <si>
    <t>Segregate and give to municipality</t>
  </si>
  <si>
    <t>6ccba436-fcd5-47ee-9d8a-11818b2d2d4f</t>
  </si>
  <si>
    <t>uuid:6ccba436-fcd5-47ee-9d8a-11818b2d2d4f</t>
  </si>
  <si>
    <t>We dispose waste more often during the day than usua</t>
  </si>
  <si>
    <t>b9e768e1-2d41-41c8-80b6-591bed642b61</t>
  </si>
  <si>
    <t>uuid:b9e768e1-2d41-41c8-80b6-591bed642b61</t>
  </si>
  <si>
    <t>29.391772 79.455549 1909.300048828125 15.107000350952148</t>
  </si>
  <si>
    <t>cabcb682-13d4-43b0-a657-64babb572277</t>
  </si>
  <si>
    <t>uuid:cabcb682-13d4-43b0-a657-64babb572277</t>
  </si>
  <si>
    <t>29.385779 79.462368 1946.2098073229445 20.906326519890417</t>
  </si>
  <si>
    <t>40be0bc3-03e0-4875-b338-3b510f81cf0e</t>
  </si>
  <si>
    <t>uuid:40be0bc3-03e0-4875-b338-3b510f81cf0e</t>
  </si>
  <si>
    <t>29.390963 79.457199 1905.9000244140625 35.6150016784668</t>
  </si>
  <si>
    <t>23dcb999-a3fa-4c02-ad14-c537618b4329</t>
  </si>
  <si>
    <t>uuid:23dcb999-a3fa-4c02-ad14-c537618b4329</t>
  </si>
  <si>
    <t>29.390413 79.455452 1945.0847615723403 44.202048242423</t>
  </si>
  <si>
    <t>Animation movie theatre</t>
  </si>
  <si>
    <t>8c2cc364-b9cb-4e40-9169-815d4a310daf</t>
  </si>
  <si>
    <t>uuid:8c2cc364-b9cb-4e40-9169-815d4a310daf</t>
  </si>
  <si>
    <t>Theme park</t>
  </si>
  <si>
    <t>Doesnt increase</t>
  </si>
  <si>
    <t>092444a1-2f34-4eb1-af85-3a8a52869550</t>
  </si>
  <si>
    <t>uuid:092444a1-2f34-4eb1-af85-3a8a52869550</t>
  </si>
  <si>
    <t>29.390947 79.457145 1905.9000244140625 20.125</t>
  </si>
  <si>
    <t>No problem faced as such</t>
  </si>
  <si>
    <t>8c2f6a64-3b45-4894-926b-02f4e685ad71</t>
  </si>
  <si>
    <t>uuid:8c2f6a64-3b45-4894-926b-02f4e685ad71</t>
  </si>
  <si>
    <t>29.39177 79.455451 1909.5 20</t>
  </si>
  <si>
    <t>81d07280-1d5c-495f-bc7c-2575bf2cdbd2</t>
  </si>
  <si>
    <t>uuid:81d07280-1d5c-495f-bc7c-2575bf2cdbd2</t>
  </si>
  <si>
    <t>29.389218 79.453733 1903.0999755859375 23.152999877929688</t>
  </si>
  <si>
    <t>c31f3915-9088-48b0-8b23-4891de7ba312</t>
  </si>
  <si>
    <t>uuid:c31f3915-9088-48b0-8b23-4891de7ba312</t>
  </si>
  <si>
    <t>29.385656 79.462587 1954.144229897298 4.733774873081794</t>
  </si>
  <si>
    <t>200cdb69-eddb-45c4-91e2-cc578829c1cf</t>
  </si>
  <si>
    <t>uuid:200cdb69-eddb-45c4-91e2-cc578829c1cf</t>
  </si>
  <si>
    <t>29.39103 79.457242 1906.0999755859375 9.463000297546387</t>
  </si>
  <si>
    <t>It is manageable</t>
  </si>
  <si>
    <t>39c4aca3-c417-412a-b85e-4b2ab1b4cc70</t>
  </si>
  <si>
    <t>uuid:39c4aca3-c417-412a-b85e-4b2ab1b4cc70</t>
  </si>
  <si>
    <t>29.391029 79.45725 1906.0999755859375 13.432000160217285</t>
  </si>
  <si>
    <t>No need municipal comes 3 times a day</t>
  </si>
  <si>
    <t>Bisleri</t>
  </si>
  <si>
    <t>348e2d45-7adb-4b32-a66f-254f80f3f383</t>
  </si>
  <si>
    <t>uuid:348e2d45-7adb-4b32-a66f-254f80f3f383</t>
  </si>
  <si>
    <t>Extra Dustbins</t>
  </si>
  <si>
    <t>033788c0-d082-4728-8c65-a9d2211f8a3f</t>
  </si>
  <si>
    <t>uuid:033788c0-d082-4728-8c65-a9d2211f8a3f</t>
  </si>
  <si>
    <t>29.392733 79.455244 1926.0999755859375 20</t>
  </si>
  <si>
    <t>Throw it in the dustbins ourselves</t>
  </si>
  <si>
    <t>Has 2 connection</t>
  </si>
  <si>
    <t>996203f5-89a6-469e-a407-53c51376d022</t>
  </si>
  <si>
    <t>uuid:996203f5-89a6-469e-a407-53c51376d022</t>
  </si>
  <si>
    <t>29.389282 79.453905 1902 4.425000190734863</t>
  </si>
  <si>
    <t>Not applicable</t>
  </si>
  <si>
    <t>12e96638-1917-4db6-a487-58b4a512f08e</t>
  </si>
  <si>
    <t>uuid:12e96638-1917-4db6-a487-58b4a512f08e</t>
  </si>
  <si>
    <t>29.385125 79.463792 1942 19.941999435424805</t>
  </si>
  <si>
    <t>Municipality garbage truck</t>
  </si>
  <si>
    <t>Low use of water, less hours of availability</t>
  </si>
  <si>
    <t>d005bf36-acbe-4b44-ab75-726518f2ed18</t>
  </si>
  <si>
    <t>uuid:d005bf36-acbe-4b44-ab75-726518f2ed18</t>
  </si>
  <si>
    <t>0779b7c5-4513-4b68-8684-d770f6037fd6</t>
  </si>
  <si>
    <t>uuid:0779b7c5-4513-4b68-8684-d770f6037fd6</t>
  </si>
  <si>
    <t>Municipality collects it so we dispose more often</t>
  </si>
  <si>
    <t>db409e64-7571-4f06-bcc4-71035e2042b2</t>
  </si>
  <si>
    <t>uuid:db409e64-7571-4f06-bcc4-71035e2042b2</t>
  </si>
  <si>
    <t>4aa5c91d-c888-4f74-a3fd-a6bc34df2f2b</t>
  </si>
  <si>
    <t>uuid:4aa5c91d-c888-4f74-a3fd-a6bc34df2f2b</t>
  </si>
  <si>
    <t>29.379088 79.467719 1988.800048828125 7.699999809265137</t>
  </si>
  <si>
    <t>Cantt people take the garbage</t>
  </si>
  <si>
    <t>Buy packaged water</t>
  </si>
  <si>
    <t>8847007d-3b87-4708-8e10-c1e62b7a6c66</t>
  </si>
  <si>
    <t>uuid:8847007d-3b87-4708-8e10-c1e62b7a6c66</t>
  </si>
  <si>
    <t>5eff124d-3f69-4c04-aa09-4c225651c7a4</t>
  </si>
  <si>
    <t>uuid:5eff124d-3f69-4c04-aa09-4c225651c7a4</t>
  </si>
  <si>
    <t>29.390382 79.454016 1949.0769261842788 26.96164420448748</t>
  </si>
  <si>
    <t>2b0e287a-c4c8-4d9f-a5de-cd68bdfaa1c9</t>
  </si>
  <si>
    <t>uuid:2b0e287a-c4c8-4d9f-a5de-cd68bdfaa1c9</t>
  </si>
  <si>
    <t>1da8c9c4-c3bb-4378-a349-db2ce3245c6f</t>
  </si>
  <si>
    <t>uuid:1da8c9c4-c3bb-4378-a349-db2ce3245c6f</t>
  </si>
  <si>
    <t>946c5f1e-d811-4fcc-9661-9c98685d6d5c</t>
  </si>
  <si>
    <t>uuid:946c5f1e-d811-4fcc-9661-9c98685d6d5c</t>
  </si>
  <si>
    <t>29.383726 79.464095 1929.4000244140625 12.902999877929688</t>
  </si>
  <si>
    <t>None as such, just gets more water from Municipality</t>
  </si>
  <si>
    <t>Connected to municipal sewage line Septic tank</t>
  </si>
  <si>
    <t>72a8d573-b56a-41db-a462-72ece0ff1844</t>
  </si>
  <si>
    <t>uuid:72a8d573-b56a-41db-a462-72ece0ff1844</t>
  </si>
  <si>
    <t>29.391816 79.455315 1909.699951171875 9.355999946594238</t>
  </si>
  <si>
    <t>bf3296cf-41d1-44e9-adc6-5c81e20b2258</t>
  </si>
  <si>
    <t>uuid:bf3296cf-41d1-44e9-adc6-5c81e20b2258</t>
  </si>
  <si>
    <t>not applicable</t>
  </si>
  <si>
    <t>7f23e695-c793-4f13-a917-1974df71dfa5</t>
  </si>
  <si>
    <t>uuid:7f23e695-c793-4f13-a917-1974df71dfa5</t>
  </si>
  <si>
    <t>88c4ab29-ff50-4c16-bc12-e3cd2924c735</t>
  </si>
  <si>
    <t>uuid:88c4ab29-ff50-4c16-bc12-e3cd2924c735</t>
  </si>
  <si>
    <t>No excess</t>
  </si>
  <si>
    <t>4c22c386-2368-4d58-b57b-4979e9312b25</t>
  </si>
  <si>
    <t>uuid:4c22c386-2368-4d58-b57b-4979e9312b25</t>
  </si>
  <si>
    <t>fdc80a4c-ddde-4b27-8d42-7381f6f8d6fa</t>
  </si>
  <si>
    <t>uuid:fdc80a4c-ddde-4b27-8d42-7381f6f8d6fa</t>
  </si>
  <si>
    <t>29.375633 79.464321 1874.6169162172012 31.440000534057617</t>
  </si>
  <si>
    <t>Municipality distbins</t>
  </si>
  <si>
    <t>Septic tank</t>
  </si>
  <si>
    <t>2a0f75eb-7004-4a91-8036-0f1622f1872d</t>
  </si>
  <si>
    <t>uuid:2a0f75eb-7004-4a91-8036-0f1622f1872d</t>
  </si>
  <si>
    <t>29.378141 79.464651 1929.5186724739167 22.10359994521549</t>
  </si>
  <si>
    <t>614c2f0b-ae96-49b7-ad26-1096489bb750</t>
  </si>
  <si>
    <t>uuid:614c2f0b-ae96-49b7-ad26-1096489bb750</t>
  </si>
  <si>
    <t>29.391736 79.455787 1908.9000244140625 18.59600067138672</t>
  </si>
  <si>
    <t>6e31cc5d-11bf-4cae-b2f6-8dfbffde3c37</t>
  </si>
  <si>
    <t>uuid:6e31cc5d-11bf-4cae-b2f6-8dfbffde3c37</t>
  </si>
  <si>
    <t>0dd8769e-43ea-4b29-b75c-9976bf4bea43</t>
  </si>
  <si>
    <t>uuid:0dd8769e-43ea-4b29-b75c-9976bf4bea43</t>
  </si>
  <si>
    <t>56b7223b-f540-4c3a-84c7-ac5203c39422</t>
  </si>
  <si>
    <t>uuid:56b7223b-f540-4c3a-84c7-ac5203c39422</t>
  </si>
  <si>
    <t>49ced168-a920-4662-857b-9f0013865076</t>
  </si>
  <si>
    <t>uuid:49ced168-a920-4662-857b-9f0013865076</t>
  </si>
  <si>
    <t>d3fa63b4-d61a-4889-8e52-3652be87b31f</t>
  </si>
  <si>
    <t>uuid:d3fa63b4-d61a-4889-8e52-3652be87b31f</t>
  </si>
  <si>
    <t>29.378187 79.464169 1900.300048828125 10.592000007629395</t>
  </si>
  <si>
    <t>Ironing shop</t>
  </si>
  <si>
    <t>6c7eacd6-ef89-4eef-b9cb-fc8e76478fd2</t>
  </si>
  <si>
    <t>uuid:6c7eacd6-ef89-4eef-b9cb-fc8e76478fd2</t>
  </si>
  <si>
    <t>29.392511 79.455615 1923.9000244140625 23.482999801635742</t>
  </si>
  <si>
    <t>Throw the waste in bigger dustbins</t>
  </si>
  <si>
    <t>911aab9e-74bf-4f72-a1e5-62ce9185bb6c</t>
  </si>
  <si>
    <t>uuid:911aab9e-74bf-4f72-a1e5-62ce9185bb6c</t>
  </si>
  <si>
    <t>29.37804 79.464099 1900.699951171875 24.097000122070312</t>
  </si>
  <si>
    <t>Clothes shop</t>
  </si>
  <si>
    <t>a17fbb22-5b49-4512-9c17-f300dff48b8a</t>
  </si>
  <si>
    <t>uuid:a17fbb22-5b49-4512-9c17-f300dff48b8a</t>
  </si>
  <si>
    <t>Dustbin and municipal collection</t>
  </si>
  <si>
    <t>Cuisines, Harela Festival</t>
  </si>
  <si>
    <t>a1e7adf3-d032-414f-ac6d-08be7dc9cfc2</t>
  </si>
  <si>
    <t>uuid:a1e7adf3-d032-414f-ac6d-08be7dc9cfc2</t>
  </si>
  <si>
    <t>29.39252 79.45552 1924 100</t>
  </si>
  <si>
    <t>Closes the room booking</t>
  </si>
  <si>
    <t>6cbcdbd0-4718-4cce-93fe-b46867871613</t>
  </si>
  <si>
    <t>uuid:6cbcdbd0-4718-4cce-93fe-b46867871613</t>
  </si>
  <si>
    <t>29.378336 79.464141 1901.5 11.496999740600586</t>
  </si>
  <si>
    <t>eb2dd8d7-6ef4-4c06-ba43-e66c97d353f6</t>
  </si>
  <si>
    <t>uuid:eb2dd8d7-6ef4-4c06-ba43-e66c97d353f6</t>
  </si>
  <si>
    <t>29.378557 79.464024 1902.0999755859375 12.717000007629395</t>
  </si>
  <si>
    <t>deec3927-a138-4ead-8c97-7957881692d7</t>
  </si>
  <si>
    <t>uuid:deec3927-a138-4ead-8c97-7957881692d7</t>
  </si>
  <si>
    <t>29.378639 79.464008 1903.8300739078936 15.75100040435791</t>
  </si>
  <si>
    <t>841c1385-90f7-420c-9c86-0c12952ba1e5</t>
  </si>
  <si>
    <t>uuid:841c1385-90f7-420c-9c86-0c12952ba1e5</t>
  </si>
  <si>
    <t>29.37858 79.46401 1902.0999755859375 11.529999732971191</t>
  </si>
  <si>
    <t>e146d4ca-3912-4b9a-9320-2af98aa90dbe</t>
  </si>
  <si>
    <t>uuid:e146d4ca-3912-4b9a-9320-2af98aa90dbe</t>
  </si>
  <si>
    <t>29.392536 79.455375 1924.0999755859375 15.062000274658203</t>
  </si>
  <si>
    <t>Bigger dustbins</t>
  </si>
  <si>
    <t>3ea06e00-ba06-4f6d-bdbf-1a9b6ac74ffa</t>
  </si>
  <si>
    <t>uuid:3ea06e00-ba06-4f6d-bdbf-1a9b6ac74ffa</t>
  </si>
  <si>
    <t>29.378712 79.463939 1902.0999755859375 14.79800033569336</t>
  </si>
  <si>
    <t>0daec737-40f8-4e15-af18-707dad54d3f2</t>
  </si>
  <si>
    <t>uuid:0daec737-40f8-4e15-af18-707dad54d3f2</t>
  </si>
  <si>
    <t>29.39261 79.455858 1928.4000244140625 22.5</t>
  </si>
  <si>
    <t>Municipality van</t>
  </si>
  <si>
    <t>Doesnt take guest</t>
  </si>
  <si>
    <t>dda7d44f-fcb6-4ab5-9f6c-8b61c1878b5d</t>
  </si>
  <si>
    <t>uuid:dda7d44f-fcb6-4ab5-9f6c-8b61c1878b5d</t>
  </si>
  <si>
    <t>29.392591 79.452862 1928.9000244140625 5.800000190734863</t>
  </si>
  <si>
    <t>51f82a08-6eb0-4faf-9684-ddcf343473e6</t>
  </si>
  <si>
    <t>uuid:51f82a08-6eb0-4faf-9684-ddcf343473e6</t>
  </si>
  <si>
    <t>29.37901 79.463845 1902.5 10.678000450134277</t>
  </si>
  <si>
    <t>dd0c0d89-292a-4ff8-9e91-a505f2ea0565</t>
  </si>
  <si>
    <t>uuid:dd0c0d89-292a-4ff8-9e91-a505f2ea0565</t>
  </si>
  <si>
    <t>29.379063 79.463856 1903 13.767000198364258</t>
  </si>
  <si>
    <t>eb7c3b14-10ff-4915-886e-661cef5c76fc</t>
  </si>
  <si>
    <t>uuid:eb7c3b14-10ff-4915-886e-661cef5c76fc</t>
  </si>
  <si>
    <t>29.379062 79.463754 1902.800048828125 15.057000160217285</t>
  </si>
  <si>
    <t>1a52f5c4-8c14-47ae-b4ef-020a06620bf8</t>
  </si>
  <si>
    <t>uuid:1a52f5c4-8c14-47ae-b4ef-020a06620bf8</t>
  </si>
  <si>
    <t>Clean Nainital and municipal corporation is working</t>
  </si>
  <si>
    <t>c8d4db91-b380-4f4a-a43f-78a962a21d6b</t>
  </si>
  <si>
    <t>uuid:c8d4db91-b380-4f4a-a43f-78a962a21d6b</t>
  </si>
  <si>
    <t>29.379193 79.463727 1906.481737344446 18.194000244140625</t>
  </si>
  <si>
    <t>d29d44ef-6351-4f09-8587-d23bc10b4838</t>
  </si>
  <si>
    <t>uuid:d29d44ef-6351-4f09-8587-d23bc10b4838</t>
  </si>
  <si>
    <t>29.390364 79.455095 1900.800048828125 29.834999084472656</t>
  </si>
  <si>
    <t>390ca05e-2b9c-4a90-977a-d2d50fada3ed</t>
  </si>
  <si>
    <t>uuid:390ca05e-2b9c-4a90-977a-d2d50fada3ed</t>
  </si>
  <si>
    <t>Well it remains the same</t>
  </si>
  <si>
    <t>8c5ab17a-6b57-4f33-89f1-a3c6844873e7</t>
  </si>
  <si>
    <t>uuid:8c5ab17a-6b57-4f33-89f1-a3c6844873e7</t>
  </si>
  <si>
    <t>Clean the promises of the shop</t>
  </si>
  <si>
    <t>5e1dfc34-312a-440c-a718-6f442d974a55</t>
  </si>
  <si>
    <t>vcmLGjLbdMeVFeFSiMNHFD</t>
  </si>
  <si>
    <t>uuid:5e1dfc34-312a-440c-a718-6f442d974a55</t>
  </si>
  <si>
    <t>Shift to bugger bustbin</t>
  </si>
  <si>
    <t>Tankers</t>
  </si>
  <si>
    <t>2fd90261-2126-4565-b731-a487c6eb2b18</t>
  </si>
  <si>
    <t>uuid:2fd90261-2126-4565-b731-a487c6eb2b18</t>
  </si>
  <si>
    <t>29.38869 79.460329 1903.800048828125 13.399999618530273</t>
  </si>
  <si>
    <t>We dump at the big dustbin from where municipality takes care of it.</t>
  </si>
  <si>
    <t>They fill water in big vessels and bottles till evening untill the water supply is resumed.</t>
  </si>
  <si>
    <t>1a4750de-6a8c-4dae-8920-f5c45dd63556</t>
  </si>
  <si>
    <t>uuid:1a4750de-6a8c-4dae-8920-f5c45dd63556</t>
  </si>
  <si>
    <t>29.389241 79.459739 1911.199951171875 21.944000244140625</t>
  </si>
  <si>
    <t>Municipality truck</t>
  </si>
  <si>
    <t>No water shortage</t>
  </si>
  <si>
    <t>dc69a211-54f6-4629-8f10-774d38c81049</t>
  </si>
  <si>
    <t>uuid:dc69a211-54f6-4629-8f10-774d38c81049</t>
  </si>
  <si>
    <t>29.375929 79.464793 1876.9000244140625 93.62000274658203</t>
  </si>
  <si>
    <t>Use of municipal dustbin and municipality takes the trash.</t>
  </si>
  <si>
    <t>Fill water before hand</t>
  </si>
  <si>
    <t>05bf0856-b1cd-4faf-8980-ce5394ea38c2</t>
  </si>
  <si>
    <t>uuid:05bf0856-b1cd-4faf-8980-ce5394ea38c2</t>
  </si>
  <si>
    <t>29.376082 79.464286 1887.300048828125 17.104000091552734</t>
  </si>
  <si>
    <t>Municipality takes it</t>
  </si>
  <si>
    <t>bcb87a20-f0e9-4316-a295-d66e67ad222b</t>
  </si>
  <si>
    <t>uuid:bcb87a20-f0e9-4316-a295-d66e67ad222b</t>
  </si>
  <si>
    <t>29.375734 79.464741 1876.9000244140625 24.093000411987305</t>
  </si>
  <si>
    <t xml:space="preserve">Septic tank No system in place </t>
  </si>
  <si>
    <t>d3d3ea0f-d03a-45b5-8a80-098a4fdf8d9e</t>
  </si>
  <si>
    <t>uuid:d3d3ea0f-d03a-45b5-8a80-098a4fdf8d9e</t>
  </si>
  <si>
    <t>29.376714 79.46442 1894.7812201515294 20.916000366210938</t>
  </si>
  <si>
    <t>Municipality takes it form bug dustbin.</t>
  </si>
  <si>
    <t>b21ba456-8d6f-47c0-8fb4-af45333d76d5</t>
  </si>
  <si>
    <t>uuid:b21ba456-8d6f-47c0-8fb4-af45333d76d5</t>
  </si>
  <si>
    <t>29.377705 79.46411 1897.4000244140625 25.13800048828125</t>
  </si>
  <si>
    <t>2c6043dd-ff77-4099-9d03-bce101356191</t>
  </si>
  <si>
    <t>uuid:2c6043dd-ff77-4099-9d03-bce101356191</t>
  </si>
  <si>
    <t>29.378248 79.464122 1900.699951171875 22.27400016784668</t>
  </si>
  <si>
    <t>Municipality takes from big dustbin</t>
  </si>
  <si>
    <t>100844e9-2518-4339-9d50-2e43e674b232</t>
  </si>
  <si>
    <t>uuid:100844e9-2518-4339-9d50-2e43e674b232</t>
  </si>
  <si>
    <t>29.378404 79.464097 1902 11.532999992370605</t>
  </si>
  <si>
    <t>Municipality comes ones or twice a day</t>
  </si>
  <si>
    <t>2e95e202-19f8-4120-af64-7730d3725b0a</t>
  </si>
  <si>
    <t>uuid:2e95e202-19f8-4120-af64-7730d3725b0a</t>
  </si>
  <si>
    <t>29.378869 79.463857 1902.0999755859375 11.482000350952148</t>
  </si>
  <si>
    <t>Have use big dustbin from it municipality takes it</t>
  </si>
  <si>
    <t>e9cbf3b5-4dcb-4c52-a731-88ca77950a25</t>
  </si>
  <si>
    <t>uuid:e9cbf3b5-4dcb-4c52-a731-88ca77950a25</t>
  </si>
  <si>
    <t>29.512302 79.621932 1650.699951171875 12.526000022888184</t>
  </si>
  <si>
    <t>ae0951f1-e8c4-4a39-a34c-1450eb570a55</t>
  </si>
  <si>
    <t>uuid:ae0951f1-e8c4-4a39-a34c-1450eb570a55</t>
  </si>
  <si>
    <t>29.512191 79.622124 1655.0999755859375 28.100000381469727</t>
  </si>
  <si>
    <t xml:space="preserve">Municipal Water Supply </t>
  </si>
  <si>
    <t>37fe8326-121b-43cb-98b6-6bb62b8d5f67</t>
  </si>
  <si>
    <t>uuid:37fe8326-121b-43cb-98b6-6bb62b8d5f67</t>
  </si>
  <si>
    <t>29.512253 79.622649 1650.699951171875 10.550000190734863</t>
  </si>
  <si>
    <t>db2b214b-1aa8-425b-a56f-6d610463cbc0</t>
  </si>
  <si>
    <t>uuid:db2b214b-1aa8-425b-a56f-6d610463cbc0</t>
  </si>
  <si>
    <t>29.512171 79.62214 1655.0999755859375 52.400001525878906</t>
  </si>
  <si>
    <t>Rainwater harvesting</t>
  </si>
  <si>
    <t>51a87486-b682-43c4-83b0-63b7127525b2</t>
  </si>
  <si>
    <t>uuid:51a87486-b682-43c4-83b0-63b7127525b2</t>
  </si>
  <si>
    <t>29.377027 79.459117 2068.5544443523445 19.22913405879589</t>
  </si>
  <si>
    <t>Guide Service</t>
  </si>
  <si>
    <t>e156591b-d14c-445a-a3ae-6f239379a686</t>
  </si>
  <si>
    <t>uuid:e156591b-d14c-445a-a3ae-6f239379a686</t>
  </si>
  <si>
    <t>29.512177 79.622012 1694.4225926208494 19.448852547378742</t>
  </si>
  <si>
    <t>500c7872-6823-4d8b-83de-1261a701f3ed</t>
  </si>
  <si>
    <t>uuid:500c7872-6823-4d8b-83de-1261a701f3ed</t>
  </si>
  <si>
    <t>388ccc41-31fe-4092-ac31-db6e3951eede</t>
  </si>
  <si>
    <t>uuid:388ccc41-31fe-4092-ac31-db6e3951eede</t>
  </si>
  <si>
    <t>29.51218 79.622036 1694.8424945724971 19.078786077105235</t>
  </si>
  <si>
    <t>Sell to radi wala</t>
  </si>
  <si>
    <t>4f048e52-3cb0-4c82-885b-a0006fcd3c6b</t>
  </si>
  <si>
    <t>uuid:4f048e52-3cb0-4c82-885b-a0006fcd3c6b</t>
  </si>
  <si>
    <t>29.505122 79.615482 1699.199951171875 330.7090148925781</t>
  </si>
  <si>
    <t>853b56d8-2a05-4e9f-ad3e-a96793a3ff3c</t>
  </si>
  <si>
    <t>uuid:853b56d8-2a05-4e9f-ad3e-a96793a3ff3c</t>
  </si>
  <si>
    <t>29.439713 79.634771 1857.4000244140625 14.442999839782715</t>
  </si>
  <si>
    <t>Wet waste is turned into compost and plastic is burned</t>
  </si>
  <si>
    <t>Reduce use, not watering the farms.</t>
  </si>
  <si>
    <t>c836ad5a-5303-4732-a8c5-43af7c3144be</t>
  </si>
  <si>
    <t>uuid:c836ad5a-5303-4732-a8c5-43af7c3144be</t>
  </si>
  <si>
    <t>Total - 64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</si>
</sst>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sz val="11"/>
      <color theme="0"/>
      <name val="Calibri"/>
      <family val="2"/>
      <scheme val="minor"/>
    </font>
    <font>
      <sz val="11"/>
      <color theme="5"/>
      <name val="Calibri"/>
      <family val="2"/>
      <scheme val="minor"/>
    </font>
    <font>
      <sz val="11"/>
      <color rgb="FF000000"/>
      <name val="Calibri"/>
      <family val="2"/>
      <scheme val="minor"/>
    </font>
  </fonts>
  <fills count="6">
    <fill>
      <patternFill patternType="none"/>
    </fill>
    <fill>
      <patternFill patternType="gray125"/>
    </fill>
    <fill>
      <patternFill patternType="solid">
        <fgColor theme="1"/>
        <bgColor indexed="64"/>
      </patternFill>
    </fill>
    <fill>
      <patternFill patternType="solid">
        <fgColor rgb="FFC00000"/>
        <bgColor indexed="64"/>
      </patternFill>
    </fill>
    <fill>
      <patternFill patternType="solid">
        <fgColor theme="0"/>
        <bgColor indexed="64"/>
      </patternFill>
    </fill>
    <fill>
      <patternFill patternType="solid">
        <fgColor theme="5" tint="0.79998168889431442"/>
        <bgColor indexed="64"/>
      </patternFill>
    </fill>
  </fills>
  <borders count="8">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top/>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1">
    <xf numFmtId="0" fontId="0" fillId="0" borderId="0"/>
  </cellStyleXfs>
  <cellXfs count="19">
    <xf numFmtId="0" fontId="0" fillId="0" borderId="0" xfId="0"/>
    <xf numFmtId="164" fontId="0" fillId="0" borderId="0" xfId="0" applyNumberFormat="1"/>
    <xf numFmtId="0" fontId="0" fillId="0" borderId="0" xfId="0" applyAlignment="1">
      <alignment wrapText="1"/>
    </xf>
    <xf numFmtId="0" fontId="2" fillId="0" borderId="0" xfId="0" applyFont="1" applyAlignment="1">
      <alignment wrapText="1"/>
    </xf>
    <xf numFmtId="0" fontId="0" fillId="0" borderId="2" xfId="0" applyBorder="1" applyAlignment="1">
      <alignment wrapText="1"/>
    </xf>
    <xf numFmtId="0" fontId="3" fillId="0" borderId="0" xfId="0" applyFont="1"/>
    <xf numFmtId="0" fontId="0" fillId="5" borderId="0" xfId="0" applyFill="1"/>
    <xf numFmtId="0" fontId="0" fillId="5" borderId="1" xfId="0" applyFont="1" applyFill="1" applyBorder="1" applyAlignment="1">
      <alignment wrapText="1"/>
    </xf>
    <xf numFmtId="0" fontId="0" fillId="5" borderId="1" xfId="0" applyFill="1" applyBorder="1"/>
    <xf numFmtId="0" fontId="0" fillId="5" borderId="3" xfId="0" applyFill="1" applyBorder="1"/>
    <xf numFmtId="0" fontId="1" fillId="2" borderId="4" xfId="0" applyFont="1" applyFill="1" applyBorder="1"/>
    <xf numFmtId="0" fontId="1" fillId="3" borderId="4" xfId="0" applyFont="1" applyFill="1" applyBorder="1"/>
    <xf numFmtId="0" fontId="0" fillId="4" borderId="1" xfId="0" applyFill="1" applyBorder="1"/>
    <xf numFmtId="0" fontId="0" fillId="4" borderId="5" xfId="0" applyFill="1" applyBorder="1"/>
    <xf numFmtId="0" fontId="1" fillId="3" borderId="6" xfId="0" applyFont="1" applyFill="1" applyBorder="1"/>
    <xf numFmtId="0" fontId="0" fillId="4" borderId="7" xfId="0" applyFill="1" applyBorder="1"/>
    <xf numFmtId="0" fontId="0" fillId="4" borderId="1" xfId="0" applyFill="1" applyBorder="1" applyAlignment="1">
      <alignment wrapText="1"/>
    </xf>
    <xf numFmtId="0" fontId="0" fillId="4" borderId="4" xfId="0" applyFill="1" applyBorder="1"/>
    <xf numFmtId="0" fontId="0" fillId="5" borderId="1" xfId="0" applyFill="1" applyBorder="1" applyAlignment="1">
      <alignment wrapText="1"/>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FBBFF-7A20-C64B-895C-1BF3F6DA2A0F}">
  <dimension ref="A1:BZ160"/>
  <sheetViews>
    <sheetView workbookViewId="0">
      <selection sqref="A1:BZ160"/>
    </sheetView>
  </sheetViews>
  <sheetFormatPr baseColWidth="10" defaultRowHeight="15" x14ac:dyDescent="0.2"/>
  <sheetData>
    <row r="1" spans="1:7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row>
    <row r="2" spans="1:78" x14ac:dyDescent="0.2">
      <c r="A2" s="1">
        <v>46198.418514722223</v>
      </c>
      <c r="B2" s="1">
        <v>46198.424337743047</v>
      </c>
      <c r="D2" t="s">
        <v>78</v>
      </c>
      <c r="J2" t="s">
        <v>79</v>
      </c>
      <c r="L2" t="s">
        <v>78</v>
      </c>
      <c r="M2">
        <v>2</v>
      </c>
      <c r="N2">
        <v>1</v>
      </c>
      <c r="O2">
        <v>3</v>
      </c>
      <c r="Q2" t="s">
        <v>78</v>
      </c>
      <c r="R2">
        <v>1</v>
      </c>
      <c r="S2">
        <v>0</v>
      </c>
      <c r="U2" t="s">
        <v>80</v>
      </c>
      <c r="W2">
        <v>3000</v>
      </c>
      <c r="X2">
        <v>3000</v>
      </c>
      <c r="Y2" t="s">
        <v>81</v>
      </c>
      <c r="AF2" t="s">
        <v>82</v>
      </c>
      <c r="AH2" t="s">
        <v>83</v>
      </c>
      <c r="AI2">
        <v>1</v>
      </c>
      <c r="AJ2">
        <v>0</v>
      </c>
      <c r="AK2">
        <v>0</v>
      </c>
      <c r="AL2">
        <v>0</v>
      </c>
      <c r="AY2" t="s">
        <v>84</v>
      </c>
      <c r="AZ2">
        <v>1</v>
      </c>
      <c r="BA2">
        <v>0</v>
      </c>
      <c r="BB2">
        <v>1</v>
      </c>
      <c r="BC2">
        <v>0</v>
      </c>
      <c r="BG2" t="s">
        <v>81</v>
      </c>
      <c r="BI2" t="s">
        <v>81</v>
      </c>
      <c r="BP2">
        <v>791553977</v>
      </c>
      <c r="BQ2" t="s">
        <v>85</v>
      </c>
      <c r="BR2" s="1">
        <v>46198.195185185177</v>
      </c>
      <c r="BU2" t="s">
        <v>86</v>
      </c>
      <c r="BW2" t="s">
        <v>87</v>
      </c>
      <c r="BY2" t="s">
        <v>88</v>
      </c>
      <c r="BZ2">
        <v>1</v>
      </c>
    </row>
    <row r="3" spans="1:78" x14ac:dyDescent="0.2">
      <c r="A3" s="1">
        <v>46198.427660729169</v>
      </c>
      <c r="B3" s="1">
        <v>46198.433980925933</v>
      </c>
      <c r="D3" t="s">
        <v>78</v>
      </c>
      <c r="J3" t="s">
        <v>89</v>
      </c>
      <c r="K3" t="s">
        <v>90</v>
      </c>
      <c r="L3" t="s">
        <v>78</v>
      </c>
      <c r="M3">
        <v>3</v>
      </c>
      <c r="N3">
        <v>0</v>
      </c>
      <c r="O3">
        <v>3</v>
      </c>
      <c r="P3" t="s">
        <v>81</v>
      </c>
      <c r="Q3" t="s">
        <v>78</v>
      </c>
      <c r="R3">
        <v>1</v>
      </c>
      <c r="S3">
        <v>0</v>
      </c>
      <c r="T3" t="s">
        <v>91</v>
      </c>
      <c r="U3" t="s">
        <v>80</v>
      </c>
      <c r="W3">
        <v>1500</v>
      </c>
      <c r="X3">
        <v>1000</v>
      </c>
      <c r="Y3" t="s">
        <v>81</v>
      </c>
      <c r="AA3" t="s">
        <v>81</v>
      </c>
      <c r="AD3" t="s">
        <v>81</v>
      </c>
      <c r="AE3">
        <v>0</v>
      </c>
      <c r="AF3" t="s">
        <v>92</v>
      </c>
      <c r="AH3" t="s">
        <v>83</v>
      </c>
      <c r="AI3">
        <v>1</v>
      </c>
      <c r="AJ3">
        <v>0</v>
      </c>
      <c r="AK3">
        <v>0</v>
      </c>
      <c r="AL3">
        <v>0</v>
      </c>
      <c r="AU3" t="s">
        <v>93</v>
      </c>
      <c r="AY3" t="s">
        <v>94</v>
      </c>
      <c r="AZ3">
        <v>0</v>
      </c>
      <c r="BA3">
        <v>0</v>
      </c>
      <c r="BB3">
        <v>0</v>
      </c>
      <c r="BC3">
        <v>1</v>
      </c>
      <c r="BG3" t="s">
        <v>81</v>
      </c>
      <c r="BI3" t="s">
        <v>78</v>
      </c>
      <c r="BP3">
        <v>791562076</v>
      </c>
      <c r="BQ3" t="s">
        <v>95</v>
      </c>
      <c r="BR3" s="1">
        <v>46198.204814814817</v>
      </c>
      <c r="BU3" t="s">
        <v>86</v>
      </c>
      <c r="BW3" t="s">
        <v>87</v>
      </c>
      <c r="BY3" t="s">
        <v>96</v>
      </c>
      <c r="BZ3">
        <v>2</v>
      </c>
    </row>
    <row r="4" spans="1:78" x14ac:dyDescent="0.2">
      <c r="A4" s="1">
        <v>46198.42433829861</v>
      </c>
      <c r="B4" s="1">
        <v>46198.438036979169</v>
      </c>
      <c r="D4" t="s">
        <v>78</v>
      </c>
      <c r="J4" t="s">
        <v>97</v>
      </c>
      <c r="L4" t="s">
        <v>78</v>
      </c>
      <c r="M4">
        <v>20</v>
      </c>
      <c r="N4">
        <v>20</v>
      </c>
      <c r="O4">
        <v>5</v>
      </c>
      <c r="P4" t="s">
        <v>98</v>
      </c>
      <c r="Q4" t="s">
        <v>78</v>
      </c>
      <c r="R4">
        <v>1</v>
      </c>
      <c r="S4">
        <v>0</v>
      </c>
      <c r="T4" t="s">
        <v>99</v>
      </c>
      <c r="U4" t="s">
        <v>80</v>
      </c>
      <c r="W4">
        <v>8000</v>
      </c>
      <c r="X4">
        <v>8000</v>
      </c>
      <c r="Y4" t="s">
        <v>81</v>
      </c>
      <c r="AA4" t="s">
        <v>78</v>
      </c>
      <c r="AD4" t="s">
        <v>81</v>
      </c>
      <c r="AE4">
        <v>1000</v>
      </c>
      <c r="AF4" t="s">
        <v>82</v>
      </c>
      <c r="AH4" t="s">
        <v>83</v>
      </c>
      <c r="AI4">
        <v>1</v>
      </c>
      <c r="AJ4">
        <v>0</v>
      </c>
      <c r="AK4">
        <v>0</v>
      </c>
      <c r="AL4">
        <v>0</v>
      </c>
      <c r="AU4" t="s">
        <v>81</v>
      </c>
      <c r="BG4" t="s">
        <v>81</v>
      </c>
      <c r="BI4" t="s">
        <v>81</v>
      </c>
      <c r="BP4">
        <v>791566437</v>
      </c>
      <c r="BQ4" t="s">
        <v>100</v>
      </c>
      <c r="BR4" s="1">
        <v>46198.20888888889</v>
      </c>
      <c r="BU4" t="s">
        <v>86</v>
      </c>
      <c r="BW4" t="s">
        <v>87</v>
      </c>
      <c r="BY4" t="s">
        <v>101</v>
      </c>
      <c r="BZ4">
        <v>3</v>
      </c>
    </row>
    <row r="5" spans="1:78" x14ac:dyDescent="0.2">
      <c r="A5" s="1">
        <v>46198.305916030091</v>
      </c>
      <c r="B5" s="1">
        <v>46198.440560833333</v>
      </c>
      <c r="D5" t="s">
        <v>78</v>
      </c>
      <c r="J5" t="s">
        <v>102</v>
      </c>
      <c r="L5" t="s">
        <v>81</v>
      </c>
      <c r="M5">
        <v>8</v>
      </c>
      <c r="N5">
        <v>0</v>
      </c>
      <c r="O5">
        <v>0</v>
      </c>
      <c r="P5" t="s">
        <v>81</v>
      </c>
      <c r="Q5" t="s">
        <v>78</v>
      </c>
      <c r="R5">
        <v>1</v>
      </c>
      <c r="S5">
        <v>0</v>
      </c>
      <c r="W5">
        <v>4500</v>
      </c>
      <c r="X5">
        <v>4500</v>
      </c>
      <c r="Y5" t="s">
        <v>81</v>
      </c>
      <c r="AA5" t="s">
        <v>81</v>
      </c>
      <c r="AD5" t="s">
        <v>81</v>
      </c>
      <c r="AY5" t="s">
        <v>103</v>
      </c>
      <c r="AZ5">
        <v>1</v>
      </c>
      <c r="BA5">
        <v>0</v>
      </c>
      <c r="BB5">
        <v>0</v>
      </c>
      <c r="BC5">
        <v>0</v>
      </c>
      <c r="BP5">
        <v>791568826</v>
      </c>
      <c r="BQ5" t="s">
        <v>104</v>
      </c>
      <c r="BR5" s="1">
        <v>46198.211400462962</v>
      </c>
      <c r="BU5" t="s">
        <v>86</v>
      </c>
      <c r="BW5" t="s">
        <v>87</v>
      </c>
      <c r="BY5" t="s">
        <v>105</v>
      </c>
      <c r="BZ5">
        <v>4</v>
      </c>
    </row>
    <row r="6" spans="1:78" x14ac:dyDescent="0.2">
      <c r="A6" s="1">
        <v>46198.395181689812</v>
      </c>
      <c r="B6" s="1">
        <v>46198.442789328707</v>
      </c>
      <c r="D6" t="s">
        <v>78</v>
      </c>
      <c r="J6" t="s">
        <v>106</v>
      </c>
      <c r="L6" t="s">
        <v>78</v>
      </c>
      <c r="M6">
        <v>60</v>
      </c>
      <c r="N6">
        <v>0</v>
      </c>
      <c r="O6">
        <v>48</v>
      </c>
      <c r="P6" t="s">
        <v>81</v>
      </c>
      <c r="Q6" t="s">
        <v>78</v>
      </c>
      <c r="R6">
        <v>1</v>
      </c>
      <c r="S6">
        <v>0</v>
      </c>
      <c r="T6" t="s">
        <v>107</v>
      </c>
      <c r="U6" t="s">
        <v>80</v>
      </c>
      <c r="W6">
        <v>125000</v>
      </c>
      <c r="X6">
        <v>100000</v>
      </c>
      <c r="Y6" t="s">
        <v>81</v>
      </c>
      <c r="AA6" t="s">
        <v>81</v>
      </c>
      <c r="AD6" t="s">
        <v>81</v>
      </c>
      <c r="AE6">
        <v>100000</v>
      </c>
      <c r="AF6" t="s">
        <v>82</v>
      </c>
      <c r="AH6" t="s">
        <v>83</v>
      </c>
      <c r="AI6">
        <v>1</v>
      </c>
      <c r="AJ6">
        <v>0</v>
      </c>
      <c r="AK6">
        <v>0</v>
      </c>
      <c r="AL6">
        <v>0</v>
      </c>
      <c r="AU6" t="s">
        <v>93</v>
      </c>
      <c r="BG6" t="s">
        <v>81</v>
      </c>
      <c r="BI6" t="s">
        <v>78</v>
      </c>
      <c r="BP6">
        <v>791570953</v>
      </c>
      <c r="BQ6" t="s">
        <v>108</v>
      </c>
      <c r="BR6" s="1">
        <v>46198.213634259257</v>
      </c>
      <c r="BU6" t="s">
        <v>86</v>
      </c>
      <c r="BW6" t="s">
        <v>87</v>
      </c>
      <c r="BY6" t="s">
        <v>109</v>
      </c>
      <c r="BZ6">
        <v>5</v>
      </c>
    </row>
    <row r="7" spans="1:78" x14ac:dyDescent="0.2">
      <c r="A7" s="1">
        <v>46198.440561111107</v>
      </c>
      <c r="B7" s="1">
        <v>46198.444363657407</v>
      </c>
      <c r="D7" t="s">
        <v>78</v>
      </c>
      <c r="J7" t="s">
        <v>102</v>
      </c>
      <c r="L7" t="s">
        <v>78</v>
      </c>
      <c r="M7">
        <v>3</v>
      </c>
      <c r="N7">
        <v>3</v>
      </c>
      <c r="O7">
        <v>3</v>
      </c>
      <c r="P7" t="s">
        <v>98</v>
      </c>
      <c r="Q7" t="s">
        <v>78</v>
      </c>
      <c r="R7">
        <v>1</v>
      </c>
      <c r="S7">
        <v>0</v>
      </c>
      <c r="T7" t="s">
        <v>110</v>
      </c>
      <c r="AA7" t="s">
        <v>78</v>
      </c>
      <c r="BP7">
        <v>791572392</v>
      </c>
      <c r="BQ7" t="s">
        <v>111</v>
      </c>
      <c r="BR7" s="1">
        <v>46198.215219907397</v>
      </c>
      <c r="BU7" t="s">
        <v>86</v>
      </c>
      <c r="BW7" t="s">
        <v>87</v>
      </c>
      <c r="BY7" t="s">
        <v>112</v>
      </c>
      <c r="BZ7">
        <v>6</v>
      </c>
    </row>
    <row r="8" spans="1:78" x14ac:dyDescent="0.2">
      <c r="A8" s="1">
        <v>46198.437964548611</v>
      </c>
      <c r="B8" s="1">
        <v>46198.445981122677</v>
      </c>
      <c r="D8" t="s">
        <v>78</v>
      </c>
      <c r="J8" t="s">
        <v>97</v>
      </c>
      <c r="L8" t="s">
        <v>78</v>
      </c>
      <c r="M8">
        <v>2</v>
      </c>
      <c r="N8">
        <v>2</v>
      </c>
      <c r="O8">
        <v>2</v>
      </c>
      <c r="P8" t="s">
        <v>81</v>
      </c>
      <c r="Q8" t="s">
        <v>78</v>
      </c>
      <c r="R8">
        <v>1</v>
      </c>
      <c r="S8">
        <v>0</v>
      </c>
      <c r="T8" t="s">
        <v>113</v>
      </c>
      <c r="U8" t="s">
        <v>80</v>
      </c>
      <c r="W8">
        <v>800</v>
      </c>
      <c r="X8">
        <v>400</v>
      </c>
      <c r="Y8" t="s">
        <v>81</v>
      </c>
      <c r="AA8" t="s">
        <v>78</v>
      </c>
      <c r="AD8" t="s">
        <v>78</v>
      </c>
      <c r="AE8">
        <v>500</v>
      </c>
      <c r="AF8" t="s">
        <v>114</v>
      </c>
      <c r="AH8" t="s">
        <v>83</v>
      </c>
      <c r="AI8">
        <v>1</v>
      </c>
      <c r="AJ8">
        <v>0</v>
      </c>
      <c r="AK8">
        <v>0</v>
      </c>
      <c r="AL8">
        <v>0</v>
      </c>
      <c r="AU8" t="s">
        <v>115</v>
      </c>
      <c r="AY8" t="s">
        <v>116</v>
      </c>
      <c r="AZ8">
        <v>0</v>
      </c>
      <c r="BA8">
        <v>0</v>
      </c>
      <c r="BB8">
        <v>1</v>
      </c>
      <c r="BC8">
        <v>0</v>
      </c>
      <c r="BG8" t="s">
        <v>81</v>
      </c>
      <c r="BI8" t="s">
        <v>81</v>
      </c>
      <c r="BP8">
        <v>791573718</v>
      </c>
      <c r="BQ8" t="s">
        <v>117</v>
      </c>
      <c r="BR8" s="1">
        <v>46198.216828703713</v>
      </c>
      <c r="BU8" t="s">
        <v>86</v>
      </c>
      <c r="BW8" t="s">
        <v>87</v>
      </c>
      <c r="BY8" t="s">
        <v>118</v>
      </c>
      <c r="BZ8">
        <v>7</v>
      </c>
    </row>
    <row r="9" spans="1:78" x14ac:dyDescent="0.2">
      <c r="A9" s="1">
        <v>46198.444363946757</v>
      </c>
      <c r="B9" s="1">
        <v>46198.448615648151</v>
      </c>
      <c r="D9" t="s">
        <v>78</v>
      </c>
      <c r="J9" t="s">
        <v>102</v>
      </c>
      <c r="L9" t="s">
        <v>78</v>
      </c>
      <c r="M9">
        <v>2</v>
      </c>
      <c r="N9">
        <v>0</v>
      </c>
      <c r="O9">
        <v>2</v>
      </c>
      <c r="P9" t="s">
        <v>81</v>
      </c>
      <c r="Q9" t="s">
        <v>78</v>
      </c>
      <c r="R9">
        <v>1</v>
      </c>
      <c r="S9">
        <v>0</v>
      </c>
      <c r="T9" t="s">
        <v>119</v>
      </c>
      <c r="BP9">
        <v>791576271</v>
      </c>
      <c r="BQ9" t="s">
        <v>120</v>
      </c>
      <c r="BR9" s="1">
        <v>46198.219652777778</v>
      </c>
      <c r="BU9" t="s">
        <v>86</v>
      </c>
      <c r="BW9" t="s">
        <v>87</v>
      </c>
      <c r="BY9" t="s">
        <v>121</v>
      </c>
      <c r="BZ9">
        <v>8</v>
      </c>
    </row>
    <row r="10" spans="1:78" x14ac:dyDescent="0.2">
      <c r="A10" s="1">
        <v>46198.448615856483</v>
      </c>
      <c r="B10" s="1">
        <v>46198.450155046303</v>
      </c>
      <c r="D10" t="s">
        <v>78</v>
      </c>
      <c r="J10" t="s">
        <v>79</v>
      </c>
      <c r="L10" t="s">
        <v>81</v>
      </c>
      <c r="M10">
        <v>2</v>
      </c>
      <c r="N10">
        <v>0</v>
      </c>
      <c r="O10">
        <v>0</v>
      </c>
      <c r="Q10" t="s">
        <v>78</v>
      </c>
      <c r="R10">
        <v>1</v>
      </c>
      <c r="S10">
        <v>0</v>
      </c>
      <c r="BP10">
        <v>791577744</v>
      </c>
      <c r="BQ10" t="s">
        <v>122</v>
      </c>
      <c r="BR10" s="1">
        <v>46198.220995370371</v>
      </c>
      <c r="BU10" t="s">
        <v>86</v>
      </c>
      <c r="BW10" t="s">
        <v>87</v>
      </c>
      <c r="BY10" t="s">
        <v>123</v>
      </c>
      <c r="BZ10">
        <v>9</v>
      </c>
    </row>
    <row r="11" spans="1:78" x14ac:dyDescent="0.2">
      <c r="A11" s="1">
        <v>46198.442789722219</v>
      </c>
      <c r="B11" s="1">
        <v>46198.453414826392</v>
      </c>
      <c r="D11" t="s">
        <v>78</v>
      </c>
      <c r="J11" t="s">
        <v>106</v>
      </c>
      <c r="L11" t="s">
        <v>78</v>
      </c>
      <c r="M11">
        <v>9</v>
      </c>
      <c r="N11">
        <v>4</v>
      </c>
      <c r="O11">
        <v>9</v>
      </c>
      <c r="P11" t="s">
        <v>81</v>
      </c>
      <c r="Q11" t="s">
        <v>78</v>
      </c>
      <c r="R11">
        <v>1</v>
      </c>
      <c r="S11">
        <v>0</v>
      </c>
      <c r="T11" t="s">
        <v>124</v>
      </c>
      <c r="U11" t="s">
        <v>80</v>
      </c>
      <c r="W11">
        <v>15000</v>
      </c>
      <c r="X11">
        <v>10000</v>
      </c>
      <c r="Y11" t="s">
        <v>78</v>
      </c>
      <c r="AA11" t="s">
        <v>81</v>
      </c>
      <c r="AD11" t="s">
        <v>78</v>
      </c>
      <c r="AE11">
        <v>12000</v>
      </c>
      <c r="AF11" t="s">
        <v>82</v>
      </c>
      <c r="AH11" t="s">
        <v>83</v>
      </c>
      <c r="AI11">
        <v>1</v>
      </c>
      <c r="AJ11">
        <v>0</v>
      </c>
      <c r="AK11">
        <v>0</v>
      </c>
      <c r="AL11">
        <v>0</v>
      </c>
      <c r="AU11" t="s">
        <v>81</v>
      </c>
      <c r="BG11" t="s">
        <v>78</v>
      </c>
      <c r="BI11" t="s">
        <v>78</v>
      </c>
      <c r="BP11">
        <v>791581073</v>
      </c>
      <c r="BQ11" t="s">
        <v>125</v>
      </c>
      <c r="BR11" s="1">
        <v>46198.224259259259</v>
      </c>
      <c r="BU11" t="s">
        <v>86</v>
      </c>
      <c r="BW11" t="s">
        <v>87</v>
      </c>
      <c r="BY11" t="s">
        <v>126</v>
      </c>
      <c r="BZ11">
        <v>10</v>
      </c>
    </row>
    <row r="12" spans="1:78" x14ac:dyDescent="0.2">
      <c r="A12" s="1">
        <v>46198.427630335653</v>
      </c>
      <c r="B12" s="1">
        <v>46198.435127025463</v>
      </c>
      <c r="BP12">
        <v>791582030</v>
      </c>
      <c r="BQ12" t="s">
        <v>127</v>
      </c>
      <c r="BR12" s="1">
        <v>46198.225162037037</v>
      </c>
      <c r="BU12" t="s">
        <v>86</v>
      </c>
      <c r="BW12" t="s">
        <v>87</v>
      </c>
      <c r="BY12" t="s">
        <v>128</v>
      </c>
      <c r="BZ12">
        <v>11</v>
      </c>
    </row>
    <row r="13" spans="1:78" x14ac:dyDescent="0.2">
      <c r="A13" s="1">
        <v>46198.445981331017</v>
      </c>
      <c r="B13" s="1">
        <v>46198.45866895833</v>
      </c>
      <c r="D13" t="s">
        <v>78</v>
      </c>
      <c r="J13" t="s">
        <v>97</v>
      </c>
      <c r="L13" t="s">
        <v>78</v>
      </c>
      <c r="M13">
        <v>30</v>
      </c>
      <c r="N13">
        <v>30</v>
      </c>
      <c r="O13">
        <v>28</v>
      </c>
      <c r="P13" t="s">
        <v>81</v>
      </c>
      <c r="Q13" t="s">
        <v>78</v>
      </c>
      <c r="R13">
        <v>1</v>
      </c>
      <c r="S13">
        <v>0</v>
      </c>
      <c r="T13" t="s">
        <v>129</v>
      </c>
      <c r="U13" t="s">
        <v>80</v>
      </c>
      <c r="W13">
        <v>13000</v>
      </c>
      <c r="X13">
        <v>11000</v>
      </c>
      <c r="Y13" t="s">
        <v>81</v>
      </c>
      <c r="AA13" t="s">
        <v>81</v>
      </c>
      <c r="AD13" t="s">
        <v>81</v>
      </c>
      <c r="AE13">
        <v>2000</v>
      </c>
      <c r="AF13" t="s">
        <v>92</v>
      </c>
      <c r="AH13" t="s">
        <v>83</v>
      </c>
      <c r="AI13">
        <v>1</v>
      </c>
      <c r="AJ13">
        <v>0</v>
      </c>
      <c r="AK13">
        <v>0</v>
      </c>
      <c r="AL13">
        <v>0</v>
      </c>
      <c r="AU13" t="s">
        <v>130</v>
      </c>
      <c r="AY13" t="s">
        <v>116</v>
      </c>
      <c r="AZ13">
        <v>0</v>
      </c>
      <c r="BA13">
        <v>0</v>
      </c>
      <c r="BB13">
        <v>1</v>
      </c>
      <c r="BC13">
        <v>0</v>
      </c>
      <c r="BG13" t="s">
        <v>81</v>
      </c>
      <c r="BI13" t="s">
        <v>78</v>
      </c>
      <c r="BP13">
        <v>791586180</v>
      </c>
      <c r="BQ13" t="s">
        <v>131</v>
      </c>
      <c r="BR13" s="1">
        <v>46198.229525462957</v>
      </c>
      <c r="BU13" t="s">
        <v>86</v>
      </c>
      <c r="BW13" t="s">
        <v>87</v>
      </c>
      <c r="BY13" t="s">
        <v>132</v>
      </c>
      <c r="BZ13">
        <v>12</v>
      </c>
    </row>
    <row r="14" spans="1:78" x14ac:dyDescent="0.2">
      <c r="A14" s="1">
        <v>46198.458669155087</v>
      </c>
      <c r="B14" s="1">
        <v>46198.463572372682</v>
      </c>
      <c r="D14" t="s">
        <v>78</v>
      </c>
      <c r="J14" t="s">
        <v>79</v>
      </c>
      <c r="L14" t="s">
        <v>78</v>
      </c>
      <c r="M14">
        <v>3</v>
      </c>
      <c r="N14">
        <v>3</v>
      </c>
      <c r="O14">
        <v>3</v>
      </c>
      <c r="P14" t="s">
        <v>98</v>
      </c>
      <c r="Q14" t="s">
        <v>78</v>
      </c>
      <c r="R14">
        <v>1</v>
      </c>
      <c r="S14">
        <v>0</v>
      </c>
      <c r="T14" t="s">
        <v>133</v>
      </c>
      <c r="U14" t="s">
        <v>80</v>
      </c>
      <c r="W14">
        <v>3500</v>
      </c>
      <c r="X14">
        <v>3500</v>
      </c>
      <c r="Y14" t="s">
        <v>81</v>
      </c>
      <c r="AA14" t="s">
        <v>78</v>
      </c>
      <c r="AD14" t="s">
        <v>78</v>
      </c>
      <c r="AE14">
        <v>0</v>
      </c>
      <c r="AF14" t="s">
        <v>82</v>
      </c>
      <c r="AH14" t="s">
        <v>134</v>
      </c>
      <c r="AI14">
        <v>0</v>
      </c>
      <c r="AJ14">
        <v>0</v>
      </c>
      <c r="AK14">
        <v>0</v>
      </c>
      <c r="AL14">
        <v>1</v>
      </c>
      <c r="AU14" t="s">
        <v>135</v>
      </c>
      <c r="AY14" t="s">
        <v>103</v>
      </c>
      <c r="AZ14">
        <v>1</v>
      </c>
      <c r="BA14">
        <v>0</v>
      </c>
      <c r="BB14">
        <v>0</v>
      </c>
      <c r="BC14">
        <v>0</v>
      </c>
      <c r="BG14" t="s">
        <v>81</v>
      </c>
      <c r="BI14" t="s">
        <v>81</v>
      </c>
      <c r="BP14">
        <v>791590591</v>
      </c>
      <c r="BQ14" t="s">
        <v>136</v>
      </c>
      <c r="BR14" s="1">
        <v>46198.2344212963</v>
      </c>
      <c r="BU14" t="s">
        <v>86</v>
      </c>
      <c r="BW14" t="s">
        <v>87</v>
      </c>
      <c r="BY14" t="s">
        <v>137</v>
      </c>
      <c r="BZ14">
        <v>13</v>
      </c>
    </row>
    <row r="15" spans="1:78" x14ac:dyDescent="0.2">
      <c r="A15" s="1">
        <v>46198.464001250002</v>
      </c>
      <c r="B15" s="1">
        <v>46198.468585300929</v>
      </c>
      <c r="D15" t="s">
        <v>78</v>
      </c>
      <c r="J15" t="s">
        <v>102</v>
      </c>
      <c r="L15" t="s">
        <v>78</v>
      </c>
      <c r="M15">
        <v>2</v>
      </c>
      <c r="N15">
        <v>0</v>
      </c>
      <c r="O15">
        <v>2</v>
      </c>
      <c r="P15" t="s">
        <v>81</v>
      </c>
      <c r="Q15" t="s">
        <v>78</v>
      </c>
      <c r="R15">
        <v>1</v>
      </c>
      <c r="S15">
        <v>0</v>
      </c>
      <c r="T15" t="s">
        <v>138</v>
      </c>
      <c r="U15" t="s">
        <v>80</v>
      </c>
      <c r="W15">
        <v>1000</v>
      </c>
      <c r="X15">
        <v>1000</v>
      </c>
      <c r="Y15" t="s">
        <v>81</v>
      </c>
      <c r="AA15" t="s">
        <v>81</v>
      </c>
      <c r="AD15" t="s">
        <v>81</v>
      </c>
      <c r="AE15">
        <v>0</v>
      </c>
      <c r="AF15" t="s">
        <v>82</v>
      </c>
      <c r="AH15" t="s">
        <v>83</v>
      </c>
      <c r="AI15">
        <v>1</v>
      </c>
      <c r="AJ15">
        <v>0</v>
      </c>
      <c r="AK15">
        <v>0</v>
      </c>
      <c r="AL15">
        <v>0</v>
      </c>
      <c r="AU15" t="s">
        <v>130</v>
      </c>
      <c r="BG15" t="s">
        <v>81</v>
      </c>
      <c r="BI15" t="s">
        <v>81</v>
      </c>
      <c r="BP15">
        <v>791595575</v>
      </c>
      <c r="BQ15" t="s">
        <v>139</v>
      </c>
      <c r="BR15" s="1">
        <v>46198.239432870367</v>
      </c>
      <c r="BU15" t="s">
        <v>86</v>
      </c>
      <c r="BW15" t="s">
        <v>87</v>
      </c>
      <c r="BY15" t="s">
        <v>140</v>
      </c>
      <c r="BZ15">
        <v>14</v>
      </c>
    </row>
    <row r="16" spans="1:78" x14ac:dyDescent="0.2">
      <c r="A16" s="1">
        <v>46198.467260833328</v>
      </c>
      <c r="B16" s="1">
        <v>46198.470793564818</v>
      </c>
      <c r="D16" t="s">
        <v>78</v>
      </c>
      <c r="J16" t="s">
        <v>106</v>
      </c>
      <c r="L16" t="s">
        <v>78</v>
      </c>
      <c r="M16">
        <v>4</v>
      </c>
      <c r="O16">
        <v>3</v>
      </c>
      <c r="Q16" t="s">
        <v>78</v>
      </c>
      <c r="R16">
        <v>1</v>
      </c>
      <c r="S16">
        <v>0</v>
      </c>
      <c r="T16" t="s">
        <v>141</v>
      </c>
      <c r="U16" t="s">
        <v>80</v>
      </c>
      <c r="W16">
        <v>30000</v>
      </c>
      <c r="X16">
        <v>15000</v>
      </c>
      <c r="Y16" t="s">
        <v>81</v>
      </c>
      <c r="AD16" t="s">
        <v>81</v>
      </c>
      <c r="AE16">
        <v>30000</v>
      </c>
      <c r="AF16" t="s">
        <v>142</v>
      </c>
      <c r="AH16" t="s">
        <v>83</v>
      </c>
      <c r="AI16">
        <v>1</v>
      </c>
      <c r="AJ16">
        <v>0</v>
      </c>
      <c r="AK16">
        <v>0</v>
      </c>
      <c r="AL16">
        <v>0</v>
      </c>
      <c r="BG16" t="s">
        <v>81</v>
      </c>
      <c r="BI16" t="s">
        <v>81</v>
      </c>
      <c r="BP16">
        <v>791598356</v>
      </c>
      <c r="BQ16" t="s">
        <v>143</v>
      </c>
      <c r="BR16" s="1">
        <v>46198.241631944453</v>
      </c>
      <c r="BU16" t="s">
        <v>86</v>
      </c>
      <c r="BW16" t="s">
        <v>87</v>
      </c>
      <c r="BY16" t="s">
        <v>144</v>
      </c>
      <c r="BZ16">
        <v>15</v>
      </c>
    </row>
    <row r="17" spans="1:78" x14ac:dyDescent="0.2">
      <c r="A17" s="1">
        <v>46198.46357255787</v>
      </c>
      <c r="B17" s="1">
        <v>46198.472637199076</v>
      </c>
      <c r="D17" t="s">
        <v>78</v>
      </c>
      <c r="J17" t="s">
        <v>97</v>
      </c>
      <c r="L17" t="s">
        <v>78</v>
      </c>
      <c r="M17">
        <v>7</v>
      </c>
      <c r="N17">
        <v>8</v>
      </c>
      <c r="O17">
        <v>7</v>
      </c>
      <c r="P17" t="s">
        <v>81</v>
      </c>
      <c r="Q17" t="s">
        <v>78</v>
      </c>
      <c r="R17">
        <v>1</v>
      </c>
      <c r="S17">
        <v>0</v>
      </c>
      <c r="T17" t="s">
        <v>133</v>
      </c>
      <c r="U17" t="s">
        <v>80</v>
      </c>
      <c r="W17">
        <v>3000</v>
      </c>
      <c r="X17">
        <v>2200</v>
      </c>
      <c r="Y17" t="s">
        <v>81</v>
      </c>
      <c r="AA17" t="s">
        <v>81</v>
      </c>
      <c r="AD17" t="s">
        <v>81</v>
      </c>
      <c r="AE17">
        <v>1000</v>
      </c>
      <c r="AF17" t="s">
        <v>92</v>
      </c>
      <c r="AH17" t="s">
        <v>83</v>
      </c>
      <c r="AI17">
        <v>1</v>
      </c>
      <c r="AJ17">
        <v>0</v>
      </c>
      <c r="AK17">
        <v>0</v>
      </c>
      <c r="AL17">
        <v>0</v>
      </c>
      <c r="AU17" t="s">
        <v>130</v>
      </c>
      <c r="AY17" t="s">
        <v>116</v>
      </c>
      <c r="AZ17">
        <v>0</v>
      </c>
      <c r="BA17">
        <v>0</v>
      </c>
      <c r="BB17">
        <v>1</v>
      </c>
      <c r="BC17">
        <v>0</v>
      </c>
      <c r="BG17" t="s">
        <v>81</v>
      </c>
      <c r="BI17" t="s">
        <v>78</v>
      </c>
      <c r="BP17">
        <v>791600233</v>
      </c>
      <c r="BQ17" t="s">
        <v>145</v>
      </c>
      <c r="BR17" s="1">
        <v>46198.243483796286</v>
      </c>
      <c r="BU17" t="s">
        <v>86</v>
      </c>
      <c r="BW17" t="s">
        <v>87</v>
      </c>
      <c r="BY17" t="s">
        <v>146</v>
      </c>
      <c r="BZ17">
        <v>16</v>
      </c>
    </row>
    <row r="18" spans="1:78" x14ac:dyDescent="0.2">
      <c r="A18" s="1">
        <v>46198.468586076393</v>
      </c>
      <c r="B18" s="1">
        <v>46198.480519907411</v>
      </c>
      <c r="D18" t="s">
        <v>78</v>
      </c>
      <c r="J18" t="s">
        <v>102</v>
      </c>
      <c r="L18" t="s">
        <v>78</v>
      </c>
      <c r="M18">
        <v>1</v>
      </c>
      <c r="N18">
        <v>1</v>
      </c>
      <c r="O18">
        <v>1</v>
      </c>
      <c r="P18" t="s">
        <v>98</v>
      </c>
      <c r="Q18" t="s">
        <v>78</v>
      </c>
      <c r="R18">
        <v>1</v>
      </c>
      <c r="S18">
        <v>0</v>
      </c>
      <c r="T18" t="s">
        <v>138</v>
      </c>
      <c r="U18" t="s">
        <v>80</v>
      </c>
      <c r="W18">
        <v>1000</v>
      </c>
      <c r="X18">
        <v>1000</v>
      </c>
      <c r="Y18" t="s">
        <v>81</v>
      </c>
      <c r="AA18" t="s">
        <v>81</v>
      </c>
      <c r="AD18" t="s">
        <v>81</v>
      </c>
      <c r="AE18">
        <v>3000</v>
      </c>
      <c r="AF18" t="s">
        <v>92</v>
      </c>
      <c r="AH18" t="s">
        <v>83</v>
      </c>
      <c r="AI18">
        <v>1</v>
      </c>
      <c r="AJ18">
        <v>0</v>
      </c>
      <c r="AK18">
        <v>0</v>
      </c>
      <c r="AL18">
        <v>0</v>
      </c>
      <c r="AU18" t="s">
        <v>147</v>
      </c>
      <c r="BG18" t="s">
        <v>81</v>
      </c>
      <c r="BI18" t="s">
        <v>81</v>
      </c>
      <c r="BP18">
        <v>791608776</v>
      </c>
      <c r="BQ18" t="s">
        <v>148</v>
      </c>
      <c r="BR18" s="1">
        <v>46198.25136574074</v>
      </c>
      <c r="BU18" t="s">
        <v>86</v>
      </c>
      <c r="BW18" t="s">
        <v>87</v>
      </c>
      <c r="BY18" t="s">
        <v>149</v>
      </c>
      <c r="BZ18">
        <v>17</v>
      </c>
    </row>
    <row r="19" spans="1:78" x14ac:dyDescent="0.2">
      <c r="A19" s="1">
        <v>46198.390831469907</v>
      </c>
      <c r="B19" s="1">
        <v>46198.480953645827</v>
      </c>
      <c r="D19" t="s">
        <v>78</v>
      </c>
      <c r="J19" t="s">
        <v>102</v>
      </c>
      <c r="L19" t="s">
        <v>78</v>
      </c>
      <c r="M19">
        <v>2</v>
      </c>
      <c r="N19">
        <v>0</v>
      </c>
      <c r="O19">
        <v>2</v>
      </c>
      <c r="P19" t="s">
        <v>98</v>
      </c>
      <c r="Q19" t="s">
        <v>78</v>
      </c>
      <c r="R19">
        <v>1</v>
      </c>
      <c r="S19">
        <v>0</v>
      </c>
      <c r="T19" t="s">
        <v>150</v>
      </c>
      <c r="U19" t="s">
        <v>80</v>
      </c>
      <c r="W19">
        <v>1200</v>
      </c>
      <c r="X19">
        <v>1200</v>
      </c>
      <c r="Y19" t="s">
        <v>81</v>
      </c>
      <c r="AA19" t="s">
        <v>78</v>
      </c>
      <c r="AD19" t="s">
        <v>81</v>
      </c>
      <c r="AE19">
        <v>0</v>
      </c>
      <c r="AF19" t="s">
        <v>82</v>
      </c>
      <c r="AH19" t="s">
        <v>151</v>
      </c>
      <c r="AI19">
        <v>1</v>
      </c>
      <c r="AJ19">
        <v>0</v>
      </c>
      <c r="AK19">
        <v>0</v>
      </c>
      <c r="AL19">
        <v>1</v>
      </c>
      <c r="AU19" t="s">
        <v>152</v>
      </c>
      <c r="AY19" t="s">
        <v>153</v>
      </c>
      <c r="AZ19">
        <v>1</v>
      </c>
      <c r="BA19">
        <v>1</v>
      </c>
      <c r="BB19">
        <v>1</v>
      </c>
      <c r="BC19">
        <v>0</v>
      </c>
      <c r="BG19" t="s">
        <v>81</v>
      </c>
      <c r="BI19" t="s">
        <v>81</v>
      </c>
      <c r="BP19">
        <v>791609361</v>
      </c>
      <c r="BQ19" t="s">
        <v>154</v>
      </c>
      <c r="BR19" s="1">
        <v>46198.251805555563</v>
      </c>
      <c r="BU19" t="s">
        <v>86</v>
      </c>
      <c r="BW19" t="s">
        <v>87</v>
      </c>
      <c r="BY19" t="s">
        <v>155</v>
      </c>
      <c r="BZ19">
        <v>18</v>
      </c>
    </row>
    <row r="20" spans="1:78" x14ac:dyDescent="0.2">
      <c r="A20" s="1">
        <v>46198.48095391204</v>
      </c>
      <c r="B20" s="1">
        <v>46198.484041979173</v>
      </c>
      <c r="D20" t="s">
        <v>78</v>
      </c>
      <c r="J20" t="s">
        <v>102</v>
      </c>
      <c r="L20" t="s">
        <v>78</v>
      </c>
      <c r="M20">
        <v>2</v>
      </c>
      <c r="N20">
        <v>2</v>
      </c>
      <c r="O20">
        <v>2</v>
      </c>
      <c r="P20" t="s">
        <v>98</v>
      </c>
      <c r="Q20" t="s">
        <v>78</v>
      </c>
      <c r="R20">
        <v>1</v>
      </c>
      <c r="S20">
        <v>0</v>
      </c>
      <c r="U20" t="s">
        <v>80</v>
      </c>
      <c r="W20">
        <v>2500</v>
      </c>
      <c r="X20">
        <v>2500</v>
      </c>
      <c r="Y20" t="s">
        <v>81</v>
      </c>
      <c r="AA20" t="s">
        <v>78</v>
      </c>
      <c r="AD20" t="s">
        <v>81</v>
      </c>
      <c r="AE20">
        <v>0</v>
      </c>
      <c r="AF20" t="s">
        <v>82</v>
      </c>
      <c r="AH20" t="s">
        <v>134</v>
      </c>
      <c r="AI20">
        <v>0</v>
      </c>
      <c r="AJ20">
        <v>0</v>
      </c>
      <c r="AK20">
        <v>0</v>
      </c>
      <c r="AL20">
        <v>1</v>
      </c>
      <c r="BG20" t="s">
        <v>81</v>
      </c>
      <c r="BI20" t="s">
        <v>81</v>
      </c>
      <c r="BP20">
        <v>791612948</v>
      </c>
      <c r="BQ20" t="s">
        <v>156</v>
      </c>
      <c r="BR20" s="1">
        <v>46198.254918981482</v>
      </c>
      <c r="BU20" t="s">
        <v>86</v>
      </c>
      <c r="BW20" t="s">
        <v>87</v>
      </c>
      <c r="BY20" t="s">
        <v>157</v>
      </c>
      <c r="BZ20">
        <v>19</v>
      </c>
    </row>
    <row r="21" spans="1:78" x14ac:dyDescent="0.2">
      <c r="A21" s="1">
        <v>46198.450155254628</v>
      </c>
      <c r="B21" s="1">
        <v>46198.451753761583</v>
      </c>
      <c r="D21" t="s">
        <v>78</v>
      </c>
      <c r="J21" t="s">
        <v>102</v>
      </c>
      <c r="L21" t="s">
        <v>81</v>
      </c>
      <c r="M21">
        <v>4</v>
      </c>
      <c r="N21">
        <v>0</v>
      </c>
      <c r="O21">
        <v>0</v>
      </c>
      <c r="P21" t="s">
        <v>81</v>
      </c>
      <c r="Q21" t="s">
        <v>78</v>
      </c>
      <c r="R21">
        <v>1</v>
      </c>
      <c r="S21">
        <v>0</v>
      </c>
      <c r="W21">
        <v>2500</v>
      </c>
      <c r="X21">
        <v>1500</v>
      </c>
      <c r="BP21">
        <v>791614323</v>
      </c>
      <c r="BQ21" t="s">
        <v>158</v>
      </c>
      <c r="BR21" s="1">
        <v>46198.256377314807</v>
      </c>
      <c r="BU21" t="s">
        <v>86</v>
      </c>
      <c r="BW21" t="s">
        <v>87</v>
      </c>
      <c r="BY21" t="s">
        <v>159</v>
      </c>
      <c r="BZ21">
        <v>20</v>
      </c>
    </row>
    <row r="22" spans="1:78" x14ac:dyDescent="0.2">
      <c r="A22" s="1">
        <v>46198.443333391202</v>
      </c>
      <c r="B22" s="1">
        <v>46198.485914212957</v>
      </c>
      <c r="D22" t="s">
        <v>78</v>
      </c>
      <c r="J22" t="s">
        <v>102</v>
      </c>
      <c r="L22" t="s">
        <v>81</v>
      </c>
      <c r="M22">
        <v>1</v>
      </c>
      <c r="N22">
        <v>1</v>
      </c>
      <c r="O22">
        <v>1</v>
      </c>
      <c r="P22" t="s">
        <v>98</v>
      </c>
      <c r="Q22" t="s">
        <v>81</v>
      </c>
      <c r="R22">
        <v>0</v>
      </c>
      <c r="S22">
        <v>1</v>
      </c>
      <c r="T22" t="s">
        <v>160</v>
      </c>
      <c r="W22">
        <v>1000</v>
      </c>
      <c r="X22">
        <v>1000</v>
      </c>
      <c r="Y22" t="s">
        <v>81</v>
      </c>
      <c r="AA22" t="s">
        <v>78</v>
      </c>
      <c r="AD22" t="s">
        <v>81</v>
      </c>
      <c r="AH22" t="s">
        <v>134</v>
      </c>
      <c r="AI22">
        <v>0</v>
      </c>
      <c r="AJ22">
        <v>0</v>
      </c>
      <c r="AK22">
        <v>0</v>
      </c>
      <c r="AL22">
        <v>1</v>
      </c>
      <c r="AU22" t="s">
        <v>161</v>
      </c>
      <c r="BP22">
        <v>791614737</v>
      </c>
      <c r="BQ22" t="s">
        <v>162</v>
      </c>
      <c r="BR22" s="1">
        <v>46198.256747685176</v>
      </c>
      <c r="BU22" t="s">
        <v>86</v>
      </c>
      <c r="BW22" t="s">
        <v>87</v>
      </c>
      <c r="BY22" t="s">
        <v>163</v>
      </c>
      <c r="BZ22">
        <v>21</v>
      </c>
    </row>
    <row r="23" spans="1:78" x14ac:dyDescent="0.2">
      <c r="A23" s="1">
        <v>46198.48404221065</v>
      </c>
      <c r="B23" s="1">
        <v>46198.488172685182</v>
      </c>
      <c r="D23" t="s">
        <v>78</v>
      </c>
      <c r="J23" t="s">
        <v>102</v>
      </c>
      <c r="L23" t="s">
        <v>78</v>
      </c>
      <c r="M23">
        <v>2</v>
      </c>
      <c r="N23">
        <v>2</v>
      </c>
      <c r="O23">
        <v>4</v>
      </c>
      <c r="P23" t="s">
        <v>81</v>
      </c>
      <c r="Q23" t="s">
        <v>78</v>
      </c>
      <c r="R23">
        <v>1</v>
      </c>
      <c r="S23">
        <v>0</v>
      </c>
      <c r="T23" t="s">
        <v>164</v>
      </c>
      <c r="W23">
        <v>4500</v>
      </c>
      <c r="X23">
        <v>3500</v>
      </c>
      <c r="Y23" t="s">
        <v>81</v>
      </c>
      <c r="AA23" t="s">
        <v>81</v>
      </c>
      <c r="AD23" t="s">
        <v>81</v>
      </c>
      <c r="AE23">
        <v>0</v>
      </c>
      <c r="AF23" t="s">
        <v>82</v>
      </c>
      <c r="BG23" t="s">
        <v>81</v>
      </c>
      <c r="BI23" t="s">
        <v>81</v>
      </c>
      <c r="BP23">
        <v>791617574</v>
      </c>
      <c r="BQ23" t="s">
        <v>165</v>
      </c>
      <c r="BR23" s="1">
        <v>46198.259027777778</v>
      </c>
      <c r="BU23" t="s">
        <v>86</v>
      </c>
      <c r="BW23" t="s">
        <v>87</v>
      </c>
      <c r="BY23" t="s">
        <v>166</v>
      </c>
      <c r="BZ23">
        <v>22</v>
      </c>
    </row>
    <row r="24" spans="1:78" x14ac:dyDescent="0.2">
      <c r="A24" s="1">
        <v>46198.451754097223</v>
      </c>
      <c r="B24" s="1">
        <v>46198.489231770844</v>
      </c>
      <c r="D24" t="s">
        <v>78</v>
      </c>
      <c r="J24" t="s">
        <v>106</v>
      </c>
      <c r="L24" t="s">
        <v>78</v>
      </c>
      <c r="M24">
        <v>40</v>
      </c>
      <c r="Q24" t="s">
        <v>78</v>
      </c>
      <c r="R24">
        <v>1</v>
      </c>
      <c r="S24">
        <v>0</v>
      </c>
      <c r="U24" t="s">
        <v>80</v>
      </c>
      <c r="W24">
        <v>35000</v>
      </c>
      <c r="X24">
        <v>30000</v>
      </c>
      <c r="Y24" t="s">
        <v>78</v>
      </c>
      <c r="AD24" t="s">
        <v>78</v>
      </c>
      <c r="AE24">
        <v>20000</v>
      </c>
      <c r="AH24" t="s">
        <v>83</v>
      </c>
      <c r="AI24">
        <v>1</v>
      </c>
      <c r="AJ24">
        <v>0</v>
      </c>
      <c r="AK24">
        <v>0</v>
      </c>
      <c r="AL24">
        <v>0</v>
      </c>
      <c r="AY24" t="s">
        <v>103</v>
      </c>
      <c r="AZ24">
        <v>1</v>
      </c>
      <c r="BA24">
        <v>0</v>
      </c>
      <c r="BB24">
        <v>0</v>
      </c>
      <c r="BC24">
        <v>0</v>
      </c>
      <c r="BG24" t="s">
        <v>81</v>
      </c>
      <c r="BI24" t="s">
        <v>81</v>
      </c>
      <c r="BP24">
        <v>791618906</v>
      </c>
      <c r="BQ24" t="s">
        <v>167</v>
      </c>
      <c r="BR24" s="1">
        <v>46198.260300925933</v>
      </c>
      <c r="BU24" t="s">
        <v>86</v>
      </c>
      <c r="BW24" t="s">
        <v>87</v>
      </c>
      <c r="BY24" t="s">
        <v>168</v>
      </c>
      <c r="BZ24">
        <v>23</v>
      </c>
    </row>
    <row r="25" spans="1:78" x14ac:dyDescent="0.2">
      <c r="A25" s="1">
        <v>46198.488172974539</v>
      </c>
      <c r="B25" s="1">
        <v>46198.493789664353</v>
      </c>
      <c r="D25" t="s">
        <v>78</v>
      </c>
      <c r="J25" t="s">
        <v>102</v>
      </c>
      <c r="L25" t="s">
        <v>78</v>
      </c>
      <c r="M25">
        <v>3</v>
      </c>
      <c r="N25">
        <v>0</v>
      </c>
      <c r="O25">
        <v>3</v>
      </c>
      <c r="P25" t="s">
        <v>98</v>
      </c>
      <c r="Q25" t="s">
        <v>78</v>
      </c>
      <c r="R25">
        <v>1</v>
      </c>
      <c r="S25">
        <v>0</v>
      </c>
      <c r="T25" t="s">
        <v>169</v>
      </c>
      <c r="W25">
        <v>1000</v>
      </c>
      <c r="X25">
        <v>1000</v>
      </c>
      <c r="Y25" t="s">
        <v>81</v>
      </c>
      <c r="AA25" t="s">
        <v>78</v>
      </c>
      <c r="AD25" t="s">
        <v>78</v>
      </c>
      <c r="AE25">
        <v>0</v>
      </c>
      <c r="AF25" t="s">
        <v>82</v>
      </c>
      <c r="AU25" t="s">
        <v>170</v>
      </c>
      <c r="AY25" t="s">
        <v>116</v>
      </c>
      <c r="AZ25">
        <v>0</v>
      </c>
      <c r="BA25">
        <v>0</v>
      </c>
      <c r="BB25">
        <v>1</v>
      </c>
      <c r="BC25">
        <v>0</v>
      </c>
      <c r="BG25" t="s">
        <v>81</v>
      </c>
      <c r="BI25" t="s">
        <v>81</v>
      </c>
      <c r="BP25">
        <v>791623854</v>
      </c>
      <c r="BQ25" t="s">
        <v>171</v>
      </c>
      <c r="BR25" s="1">
        <v>46198.264652777783</v>
      </c>
      <c r="BU25" t="s">
        <v>86</v>
      </c>
      <c r="BW25" t="s">
        <v>87</v>
      </c>
      <c r="BY25" t="s">
        <v>172</v>
      </c>
      <c r="BZ25">
        <v>24</v>
      </c>
    </row>
    <row r="26" spans="1:78" x14ac:dyDescent="0.2">
      <c r="A26" s="1">
        <v>46198.490944120371</v>
      </c>
      <c r="B26" s="1">
        <v>46198.494238449071</v>
      </c>
      <c r="D26" t="s">
        <v>78</v>
      </c>
      <c r="J26" t="s">
        <v>102</v>
      </c>
      <c r="L26" t="s">
        <v>78</v>
      </c>
      <c r="M26">
        <v>6</v>
      </c>
      <c r="N26">
        <v>2</v>
      </c>
      <c r="O26">
        <v>6</v>
      </c>
      <c r="P26" t="s">
        <v>98</v>
      </c>
      <c r="Q26" t="s">
        <v>78</v>
      </c>
      <c r="R26">
        <v>1</v>
      </c>
      <c r="S26">
        <v>0</v>
      </c>
      <c r="T26" t="s">
        <v>173</v>
      </c>
      <c r="U26" t="s">
        <v>80</v>
      </c>
      <c r="W26">
        <v>4000</v>
      </c>
      <c r="X26">
        <v>3500</v>
      </c>
      <c r="Y26" t="s">
        <v>81</v>
      </c>
      <c r="AA26" t="s">
        <v>78</v>
      </c>
      <c r="AD26" t="s">
        <v>78</v>
      </c>
      <c r="AE26">
        <v>500</v>
      </c>
      <c r="AF26" t="s">
        <v>82</v>
      </c>
      <c r="AH26" t="s">
        <v>83</v>
      </c>
      <c r="AI26">
        <v>1</v>
      </c>
      <c r="AJ26">
        <v>0</v>
      </c>
      <c r="AK26">
        <v>0</v>
      </c>
      <c r="AL26">
        <v>0</v>
      </c>
      <c r="AU26" t="s">
        <v>174</v>
      </c>
      <c r="AY26" t="s">
        <v>94</v>
      </c>
      <c r="AZ26">
        <v>0</v>
      </c>
      <c r="BA26">
        <v>0</v>
      </c>
      <c r="BB26">
        <v>0</v>
      </c>
      <c r="BC26">
        <v>1</v>
      </c>
      <c r="BG26" t="s">
        <v>81</v>
      </c>
      <c r="BI26" t="s">
        <v>78</v>
      </c>
      <c r="BP26">
        <v>791624529</v>
      </c>
      <c r="BQ26" t="s">
        <v>175</v>
      </c>
      <c r="BR26" s="1">
        <v>46198.265081018522</v>
      </c>
      <c r="BU26" t="s">
        <v>86</v>
      </c>
      <c r="BW26" t="s">
        <v>87</v>
      </c>
      <c r="BY26" t="s">
        <v>176</v>
      </c>
      <c r="BZ26">
        <v>25</v>
      </c>
    </row>
    <row r="27" spans="1:78" x14ac:dyDescent="0.2">
      <c r="A27" s="1">
        <v>46198.493789942127</v>
      </c>
      <c r="B27" s="1">
        <v>46198.499561365737</v>
      </c>
      <c r="D27" t="s">
        <v>78</v>
      </c>
      <c r="J27" t="s">
        <v>102</v>
      </c>
      <c r="L27" t="s">
        <v>78</v>
      </c>
      <c r="M27">
        <v>0</v>
      </c>
      <c r="N27">
        <v>0</v>
      </c>
      <c r="O27">
        <v>0</v>
      </c>
      <c r="P27" t="s">
        <v>81</v>
      </c>
      <c r="Q27" t="s">
        <v>81</v>
      </c>
      <c r="R27">
        <v>0</v>
      </c>
      <c r="S27">
        <v>1</v>
      </c>
      <c r="W27">
        <v>900</v>
      </c>
      <c r="X27">
        <v>900</v>
      </c>
      <c r="Y27" t="s">
        <v>81</v>
      </c>
      <c r="AA27" t="s">
        <v>81</v>
      </c>
      <c r="AD27" t="s">
        <v>81</v>
      </c>
      <c r="AE27">
        <v>0</v>
      </c>
      <c r="AF27" t="s">
        <v>82</v>
      </c>
      <c r="BG27" t="s">
        <v>81</v>
      </c>
      <c r="BI27" t="s">
        <v>81</v>
      </c>
      <c r="BP27">
        <v>791632366</v>
      </c>
      <c r="BQ27" t="s">
        <v>177</v>
      </c>
      <c r="BR27" s="1">
        <v>46198.270439814813</v>
      </c>
      <c r="BU27" t="s">
        <v>86</v>
      </c>
      <c r="BW27" t="s">
        <v>87</v>
      </c>
      <c r="BY27" t="s">
        <v>178</v>
      </c>
      <c r="BZ27">
        <v>26</v>
      </c>
    </row>
    <row r="28" spans="1:78" x14ac:dyDescent="0.2">
      <c r="A28" s="1">
        <v>46198.499561689823</v>
      </c>
      <c r="B28" s="1">
        <v>46198.504646504633</v>
      </c>
      <c r="D28" t="s">
        <v>78</v>
      </c>
      <c r="J28" t="s">
        <v>102</v>
      </c>
      <c r="L28" t="s">
        <v>78</v>
      </c>
      <c r="M28">
        <v>2</v>
      </c>
      <c r="N28">
        <v>0</v>
      </c>
      <c r="O28">
        <v>1</v>
      </c>
      <c r="P28" t="s">
        <v>81</v>
      </c>
      <c r="Q28" t="s">
        <v>78</v>
      </c>
      <c r="R28">
        <v>1</v>
      </c>
      <c r="S28">
        <v>0</v>
      </c>
      <c r="W28">
        <v>1000</v>
      </c>
      <c r="X28">
        <v>1000</v>
      </c>
      <c r="Y28" t="s">
        <v>81</v>
      </c>
      <c r="AA28" t="s">
        <v>81</v>
      </c>
      <c r="AD28" t="s">
        <v>81</v>
      </c>
      <c r="AE28">
        <v>0</v>
      </c>
      <c r="AF28" t="s">
        <v>82</v>
      </c>
      <c r="BG28" t="s">
        <v>81</v>
      </c>
      <c r="BI28" t="s">
        <v>81</v>
      </c>
      <c r="BP28">
        <v>791639034</v>
      </c>
      <c r="BQ28" t="s">
        <v>179</v>
      </c>
      <c r="BR28" s="1">
        <v>46198.275497685187</v>
      </c>
      <c r="BU28" t="s">
        <v>86</v>
      </c>
      <c r="BW28" t="s">
        <v>87</v>
      </c>
      <c r="BY28" t="s">
        <v>180</v>
      </c>
      <c r="BZ28">
        <v>27</v>
      </c>
    </row>
    <row r="29" spans="1:78" x14ac:dyDescent="0.2">
      <c r="A29" s="1">
        <v>46198.504646770831</v>
      </c>
      <c r="B29" s="1">
        <v>46198.50853071759</v>
      </c>
      <c r="D29" t="s">
        <v>78</v>
      </c>
      <c r="J29" t="s">
        <v>102</v>
      </c>
      <c r="L29" t="s">
        <v>78</v>
      </c>
      <c r="M29">
        <v>1</v>
      </c>
      <c r="N29">
        <v>1</v>
      </c>
      <c r="O29">
        <v>1</v>
      </c>
      <c r="P29" t="s">
        <v>81</v>
      </c>
      <c r="Q29" t="s">
        <v>78</v>
      </c>
      <c r="R29">
        <v>1</v>
      </c>
      <c r="S29">
        <v>0</v>
      </c>
      <c r="W29">
        <v>1200</v>
      </c>
      <c r="X29">
        <v>1200</v>
      </c>
      <c r="Y29" t="s">
        <v>81</v>
      </c>
      <c r="AA29" t="s">
        <v>81</v>
      </c>
      <c r="AD29" t="s">
        <v>81</v>
      </c>
      <c r="AF29" t="s">
        <v>82</v>
      </c>
      <c r="BG29" t="s">
        <v>81</v>
      </c>
      <c r="BI29" t="s">
        <v>81</v>
      </c>
      <c r="BP29">
        <v>791644212</v>
      </c>
      <c r="BQ29" t="s">
        <v>181</v>
      </c>
      <c r="BR29" s="1">
        <v>46198.279386574082</v>
      </c>
      <c r="BU29" t="s">
        <v>86</v>
      </c>
      <c r="BW29" t="s">
        <v>87</v>
      </c>
      <c r="BY29" t="s">
        <v>182</v>
      </c>
      <c r="BZ29">
        <v>28</v>
      </c>
    </row>
    <row r="30" spans="1:78" x14ac:dyDescent="0.2">
      <c r="A30" s="1">
        <v>46198.453415150463</v>
      </c>
      <c r="B30" s="1">
        <v>46198.51272697917</v>
      </c>
      <c r="J30" t="s">
        <v>106</v>
      </c>
      <c r="L30" t="s">
        <v>81</v>
      </c>
      <c r="M30">
        <v>15</v>
      </c>
      <c r="N30">
        <v>0</v>
      </c>
      <c r="O30">
        <v>0</v>
      </c>
      <c r="P30" t="s">
        <v>81</v>
      </c>
      <c r="Q30" t="s">
        <v>78</v>
      </c>
      <c r="R30">
        <v>1</v>
      </c>
      <c r="S30">
        <v>0</v>
      </c>
      <c r="T30" t="s">
        <v>183</v>
      </c>
      <c r="U30" t="s">
        <v>80</v>
      </c>
      <c r="W30">
        <v>40000</v>
      </c>
      <c r="X30">
        <v>25000</v>
      </c>
      <c r="Y30" t="s">
        <v>81</v>
      </c>
      <c r="AA30" t="s">
        <v>81</v>
      </c>
      <c r="AD30" t="s">
        <v>81</v>
      </c>
      <c r="AE30">
        <v>10000</v>
      </c>
      <c r="AF30" t="s">
        <v>82</v>
      </c>
      <c r="AH30" t="s">
        <v>83</v>
      </c>
      <c r="AI30">
        <v>1</v>
      </c>
      <c r="AJ30">
        <v>0</v>
      </c>
      <c r="AK30">
        <v>0</v>
      </c>
      <c r="AL30">
        <v>0</v>
      </c>
      <c r="AU30" t="s">
        <v>81</v>
      </c>
      <c r="BG30" t="s">
        <v>81</v>
      </c>
      <c r="BI30" t="s">
        <v>81</v>
      </c>
      <c r="BP30">
        <v>791650900</v>
      </c>
      <c r="BQ30" t="s">
        <v>184</v>
      </c>
      <c r="BR30" s="1">
        <v>46198.284143518518</v>
      </c>
      <c r="BU30" t="s">
        <v>86</v>
      </c>
      <c r="BW30" t="s">
        <v>87</v>
      </c>
      <c r="BY30" t="s">
        <v>185</v>
      </c>
      <c r="BZ30">
        <v>29</v>
      </c>
    </row>
    <row r="31" spans="1:78" x14ac:dyDescent="0.2">
      <c r="A31" s="1">
        <v>46198.512881261573</v>
      </c>
      <c r="B31" s="1">
        <v>46198.515240231478</v>
      </c>
      <c r="D31" t="s">
        <v>78</v>
      </c>
      <c r="J31" t="s">
        <v>106</v>
      </c>
      <c r="L31" t="s">
        <v>81</v>
      </c>
      <c r="M31">
        <v>3</v>
      </c>
      <c r="N31">
        <v>2</v>
      </c>
      <c r="O31">
        <v>3</v>
      </c>
      <c r="P31" t="s">
        <v>81</v>
      </c>
      <c r="Q31" t="s">
        <v>78</v>
      </c>
      <c r="R31">
        <v>1</v>
      </c>
      <c r="S31">
        <v>0</v>
      </c>
      <c r="T31" t="s">
        <v>186</v>
      </c>
      <c r="U31" t="s">
        <v>80</v>
      </c>
      <c r="Y31" t="s">
        <v>81</v>
      </c>
      <c r="AA31" t="s">
        <v>78</v>
      </c>
      <c r="AD31" t="s">
        <v>81</v>
      </c>
      <c r="AF31" t="s">
        <v>92</v>
      </c>
      <c r="AH31" t="s">
        <v>83</v>
      </c>
      <c r="AI31">
        <v>1</v>
      </c>
      <c r="AJ31">
        <v>0</v>
      </c>
      <c r="AK31">
        <v>0</v>
      </c>
      <c r="AL31">
        <v>0</v>
      </c>
      <c r="AU31" t="s">
        <v>187</v>
      </c>
      <c r="AY31" t="s">
        <v>94</v>
      </c>
      <c r="AZ31">
        <v>0</v>
      </c>
      <c r="BA31">
        <v>0</v>
      </c>
      <c r="BB31">
        <v>0</v>
      </c>
      <c r="BC31">
        <v>1</v>
      </c>
      <c r="BG31" t="s">
        <v>81</v>
      </c>
      <c r="BI31" t="s">
        <v>81</v>
      </c>
      <c r="BP31">
        <v>791653478</v>
      </c>
      <c r="BQ31" t="s">
        <v>188</v>
      </c>
      <c r="BR31" s="1">
        <v>46198.286087962973</v>
      </c>
      <c r="BU31" t="s">
        <v>86</v>
      </c>
      <c r="BW31" t="s">
        <v>87</v>
      </c>
      <c r="BY31" t="s">
        <v>189</v>
      </c>
      <c r="BZ31">
        <v>30</v>
      </c>
    </row>
    <row r="32" spans="1:78" x14ac:dyDescent="0.2">
      <c r="A32" s="1">
        <v>46198.438037395827</v>
      </c>
      <c r="B32" s="1">
        <v>46198.518545925923</v>
      </c>
      <c r="D32" t="s">
        <v>78</v>
      </c>
      <c r="J32" t="s">
        <v>97</v>
      </c>
      <c r="L32" t="s">
        <v>78</v>
      </c>
      <c r="M32">
        <v>5</v>
      </c>
      <c r="N32">
        <v>2</v>
      </c>
      <c r="O32">
        <v>4</v>
      </c>
      <c r="P32" t="s">
        <v>81</v>
      </c>
      <c r="Q32" t="s">
        <v>78</v>
      </c>
      <c r="R32">
        <v>1</v>
      </c>
      <c r="S32">
        <v>0</v>
      </c>
      <c r="T32" t="s">
        <v>190</v>
      </c>
      <c r="U32" t="s">
        <v>80</v>
      </c>
      <c r="W32">
        <v>5000</v>
      </c>
      <c r="X32">
        <v>5000</v>
      </c>
      <c r="Y32" t="s">
        <v>81</v>
      </c>
      <c r="AA32" t="s">
        <v>78</v>
      </c>
      <c r="AD32" t="s">
        <v>81</v>
      </c>
      <c r="AF32" t="s">
        <v>92</v>
      </c>
      <c r="AH32" t="s">
        <v>83</v>
      </c>
      <c r="AI32">
        <v>1</v>
      </c>
      <c r="AJ32">
        <v>0</v>
      </c>
      <c r="AK32">
        <v>0</v>
      </c>
      <c r="AL32">
        <v>0</v>
      </c>
      <c r="AU32" t="s">
        <v>191</v>
      </c>
      <c r="AY32" t="s">
        <v>103</v>
      </c>
      <c r="AZ32">
        <v>1</v>
      </c>
      <c r="BA32">
        <v>0</v>
      </c>
      <c r="BB32">
        <v>0</v>
      </c>
      <c r="BC32">
        <v>0</v>
      </c>
      <c r="BG32" t="s">
        <v>81</v>
      </c>
      <c r="BI32" t="s">
        <v>78</v>
      </c>
      <c r="BP32">
        <v>791657628</v>
      </c>
      <c r="BQ32" t="s">
        <v>192</v>
      </c>
      <c r="BR32" s="1">
        <v>46198.289398148147</v>
      </c>
      <c r="BU32" t="s">
        <v>86</v>
      </c>
      <c r="BW32" t="s">
        <v>87</v>
      </c>
      <c r="BY32" t="s">
        <v>193</v>
      </c>
      <c r="BZ32">
        <v>31</v>
      </c>
    </row>
    <row r="33" spans="1:78" x14ac:dyDescent="0.2">
      <c r="A33" s="1">
        <v>46198.521142453697</v>
      </c>
      <c r="B33" s="1">
        <v>46198.525384062501</v>
      </c>
      <c r="D33" t="s">
        <v>78</v>
      </c>
      <c r="J33" t="s">
        <v>97</v>
      </c>
      <c r="L33" t="s">
        <v>78</v>
      </c>
      <c r="M33">
        <v>5</v>
      </c>
      <c r="N33">
        <v>5</v>
      </c>
      <c r="O33">
        <v>5</v>
      </c>
      <c r="P33" t="s">
        <v>81</v>
      </c>
      <c r="Q33" t="s">
        <v>78</v>
      </c>
      <c r="R33">
        <v>1</v>
      </c>
      <c r="S33">
        <v>0</v>
      </c>
      <c r="T33" t="s">
        <v>194</v>
      </c>
      <c r="U33" t="s">
        <v>80</v>
      </c>
      <c r="W33">
        <v>6000</v>
      </c>
      <c r="X33">
        <v>3500</v>
      </c>
      <c r="Y33" t="s">
        <v>81</v>
      </c>
      <c r="AA33" t="s">
        <v>81</v>
      </c>
      <c r="AD33" t="s">
        <v>81</v>
      </c>
      <c r="AE33">
        <v>0</v>
      </c>
      <c r="AF33" t="s">
        <v>92</v>
      </c>
      <c r="AH33" t="s">
        <v>134</v>
      </c>
      <c r="AI33">
        <v>0</v>
      </c>
      <c r="AJ33">
        <v>0</v>
      </c>
      <c r="AK33">
        <v>0</v>
      </c>
      <c r="AL33">
        <v>1</v>
      </c>
      <c r="AU33" t="s">
        <v>81</v>
      </c>
      <c r="BG33" t="s">
        <v>81</v>
      </c>
      <c r="BI33" t="s">
        <v>78</v>
      </c>
      <c r="BP33">
        <v>791667436</v>
      </c>
      <c r="BQ33" t="s">
        <v>195</v>
      </c>
      <c r="BR33" s="1">
        <v>46198.296238425923</v>
      </c>
      <c r="BU33" t="s">
        <v>86</v>
      </c>
      <c r="BW33" t="s">
        <v>87</v>
      </c>
      <c r="BY33" t="s">
        <v>196</v>
      </c>
      <c r="BZ33">
        <v>32</v>
      </c>
    </row>
    <row r="34" spans="1:78" x14ac:dyDescent="0.2">
      <c r="A34" s="1">
        <v>46198.525384270833</v>
      </c>
      <c r="B34" s="1">
        <v>46198.525679918981</v>
      </c>
      <c r="Y34" t="s">
        <v>81</v>
      </c>
      <c r="BP34">
        <v>791667798</v>
      </c>
      <c r="BQ34" t="s">
        <v>197</v>
      </c>
      <c r="BR34" s="1">
        <v>46198.296516203707</v>
      </c>
      <c r="BU34" t="s">
        <v>86</v>
      </c>
      <c r="BW34" t="s">
        <v>87</v>
      </c>
      <c r="BY34" t="s">
        <v>198</v>
      </c>
      <c r="BZ34">
        <v>33</v>
      </c>
    </row>
    <row r="35" spans="1:78" x14ac:dyDescent="0.2">
      <c r="A35" s="1">
        <v>46198.470793761568</v>
      </c>
      <c r="B35" s="1">
        <v>46198.527682222222</v>
      </c>
      <c r="J35" t="s">
        <v>106</v>
      </c>
      <c r="L35" t="s">
        <v>78</v>
      </c>
      <c r="M35">
        <v>9</v>
      </c>
      <c r="N35">
        <v>0</v>
      </c>
      <c r="O35">
        <v>8</v>
      </c>
      <c r="P35" t="s">
        <v>81</v>
      </c>
      <c r="Q35" t="s">
        <v>78</v>
      </c>
      <c r="R35">
        <v>1</v>
      </c>
      <c r="S35">
        <v>0</v>
      </c>
      <c r="T35" t="s">
        <v>199</v>
      </c>
      <c r="U35" t="s">
        <v>80</v>
      </c>
      <c r="W35">
        <v>60000</v>
      </c>
      <c r="X35">
        <v>30000</v>
      </c>
      <c r="Y35" t="s">
        <v>81</v>
      </c>
      <c r="AA35" t="s">
        <v>81</v>
      </c>
      <c r="AD35" t="s">
        <v>81</v>
      </c>
      <c r="AE35">
        <v>12000</v>
      </c>
      <c r="AF35" t="s">
        <v>82</v>
      </c>
      <c r="AH35" t="s">
        <v>83</v>
      </c>
      <c r="AI35">
        <v>1</v>
      </c>
      <c r="AJ35">
        <v>0</v>
      </c>
      <c r="AK35">
        <v>0</v>
      </c>
      <c r="AL35">
        <v>0</v>
      </c>
      <c r="AU35" t="s">
        <v>81</v>
      </c>
      <c r="AY35" t="s">
        <v>94</v>
      </c>
      <c r="AZ35">
        <v>0</v>
      </c>
      <c r="BA35">
        <v>0</v>
      </c>
      <c r="BB35">
        <v>0</v>
      </c>
      <c r="BC35">
        <v>1</v>
      </c>
      <c r="BG35" t="s">
        <v>81</v>
      </c>
      <c r="BI35" t="s">
        <v>81</v>
      </c>
      <c r="BP35">
        <v>791670566</v>
      </c>
      <c r="BQ35" t="s">
        <v>200</v>
      </c>
      <c r="BR35" s="1">
        <v>46198.298530092587</v>
      </c>
      <c r="BU35" t="s">
        <v>86</v>
      </c>
      <c r="BW35" t="s">
        <v>87</v>
      </c>
      <c r="BY35" t="s">
        <v>201</v>
      </c>
      <c r="BZ35">
        <v>34</v>
      </c>
    </row>
    <row r="36" spans="1:78" x14ac:dyDescent="0.2">
      <c r="A36" s="1">
        <v>46198.468660752318</v>
      </c>
      <c r="B36" s="1">
        <v>46198.527727546287</v>
      </c>
      <c r="D36" t="s">
        <v>78</v>
      </c>
      <c r="J36" t="s">
        <v>97</v>
      </c>
      <c r="L36" t="s">
        <v>78</v>
      </c>
      <c r="M36">
        <v>12</v>
      </c>
      <c r="N36">
        <v>5</v>
      </c>
      <c r="O36">
        <v>12</v>
      </c>
      <c r="P36" t="s">
        <v>81</v>
      </c>
      <c r="Q36" t="s">
        <v>78</v>
      </c>
      <c r="R36">
        <v>1</v>
      </c>
      <c r="S36">
        <v>0</v>
      </c>
      <c r="T36" t="s">
        <v>202</v>
      </c>
      <c r="U36" t="s">
        <v>80</v>
      </c>
      <c r="W36">
        <v>4000</v>
      </c>
      <c r="X36">
        <v>4000</v>
      </c>
      <c r="Y36" t="s">
        <v>81</v>
      </c>
      <c r="AA36" t="s">
        <v>81</v>
      </c>
      <c r="AD36" t="s">
        <v>81</v>
      </c>
      <c r="AF36" t="s">
        <v>92</v>
      </c>
      <c r="AH36" t="s">
        <v>83</v>
      </c>
      <c r="AI36">
        <v>1</v>
      </c>
      <c r="AJ36">
        <v>0</v>
      </c>
      <c r="AK36">
        <v>0</v>
      </c>
      <c r="AL36">
        <v>0</v>
      </c>
      <c r="AU36" t="s">
        <v>203</v>
      </c>
      <c r="AY36" t="s">
        <v>84</v>
      </c>
      <c r="AZ36">
        <v>1</v>
      </c>
      <c r="BA36">
        <v>0</v>
      </c>
      <c r="BB36">
        <v>1</v>
      </c>
      <c r="BC36">
        <v>0</v>
      </c>
      <c r="BG36" t="s">
        <v>81</v>
      </c>
      <c r="BI36" t="s">
        <v>78</v>
      </c>
      <c r="BP36">
        <v>791670765</v>
      </c>
      <c r="BQ36" t="s">
        <v>204</v>
      </c>
      <c r="BR36" s="1">
        <v>46198.298668981479</v>
      </c>
      <c r="BU36" t="s">
        <v>86</v>
      </c>
      <c r="BW36" t="s">
        <v>87</v>
      </c>
      <c r="BY36" t="s">
        <v>205</v>
      </c>
      <c r="BZ36">
        <v>35</v>
      </c>
    </row>
    <row r="37" spans="1:78" x14ac:dyDescent="0.2">
      <c r="A37" s="1">
        <v>46198.508531030093</v>
      </c>
      <c r="B37" s="1">
        <v>46198.527984201392</v>
      </c>
      <c r="D37" t="s">
        <v>78</v>
      </c>
      <c r="J37" t="s">
        <v>102</v>
      </c>
      <c r="L37" t="s">
        <v>78</v>
      </c>
      <c r="M37">
        <v>12</v>
      </c>
      <c r="N37">
        <v>0</v>
      </c>
      <c r="O37">
        <v>12</v>
      </c>
      <c r="P37" t="s">
        <v>98</v>
      </c>
      <c r="Q37" t="s">
        <v>78</v>
      </c>
      <c r="R37">
        <v>1</v>
      </c>
      <c r="S37">
        <v>0</v>
      </c>
      <c r="W37">
        <v>3000</v>
      </c>
      <c r="X37">
        <v>3000</v>
      </c>
      <c r="Y37" t="s">
        <v>81</v>
      </c>
      <c r="AA37" t="s">
        <v>78</v>
      </c>
      <c r="AD37" t="s">
        <v>81</v>
      </c>
      <c r="AE37">
        <v>0</v>
      </c>
      <c r="AF37" t="s">
        <v>82</v>
      </c>
      <c r="AY37" t="s">
        <v>116</v>
      </c>
      <c r="AZ37">
        <v>0</v>
      </c>
      <c r="BA37">
        <v>0</v>
      </c>
      <c r="BB37">
        <v>1</v>
      </c>
      <c r="BC37">
        <v>0</v>
      </c>
      <c r="BG37" t="s">
        <v>81</v>
      </c>
      <c r="BI37" t="s">
        <v>81</v>
      </c>
      <c r="BP37">
        <v>791671144</v>
      </c>
      <c r="BQ37" t="s">
        <v>206</v>
      </c>
      <c r="BR37" s="1">
        <v>46198.298946759263</v>
      </c>
      <c r="BU37" t="s">
        <v>86</v>
      </c>
      <c r="BW37" t="s">
        <v>87</v>
      </c>
      <c r="BY37" t="s">
        <v>207</v>
      </c>
      <c r="BZ37">
        <v>36</v>
      </c>
    </row>
    <row r="38" spans="1:78" x14ac:dyDescent="0.2">
      <c r="A38" s="1">
        <v>46198.485914699071</v>
      </c>
      <c r="B38" s="1">
        <v>46198.528567187503</v>
      </c>
      <c r="D38" t="s">
        <v>78</v>
      </c>
      <c r="J38" t="s">
        <v>106</v>
      </c>
      <c r="L38" t="s">
        <v>78</v>
      </c>
      <c r="M38">
        <v>5</v>
      </c>
      <c r="N38">
        <v>0</v>
      </c>
      <c r="O38">
        <v>2</v>
      </c>
      <c r="P38" t="s">
        <v>81</v>
      </c>
      <c r="Q38" t="s">
        <v>78</v>
      </c>
      <c r="R38">
        <v>1</v>
      </c>
      <c r="S38">
        <v>0</v>
      </c>
      <c r="T38" t="s">
        <v>208</v>
      </c>
      <c r="U38" t="s">
        <v>80</v>
      </c>
      <c r="W38">
        <v>18000</v>
      </c>
      <c r="X38">
        <v>15000</v>
      </c>
      <c r="Y38" t="s">
        <v>81</v>
      </c>
      <c r="AA38" t="s">
        <v>81</v>
      </c>
      <c r="AD38" t="s">
        <v>81</v>
      </c>
      <c r="AE38">
        <v>4000</v>
      </c>
      <c r="AF38" t="s">
        <v>82</v>
      </c>
      <c r="AH38" t="s">
        <v>83</v>
      </c>
      <c r="AI38">
        <v>1</v>
      </c>
      <c r="AJ38">
        <v>0</v>
      </c>
      <c r="AK38">
        <v>0</v>
      </c>
      <c r="AL38">
        <v>0</v>
      </c>
      <c r="AY38" t="s">
        <v>209</v>
      </c>
      <c r="AZ38">
        <v>1</v>
      </c>
      <c r="BA38">
        <v>1</v>
      </c>
      <c r="BB38">
        <v>0</v>
      </c>
      <c r="BC38">
        <v>0</v>
      </c>
      <c r="BG38" t="s">
        <v>81</v>
      </c>
      <c r="BI38" t="s">
        <v>81</v>
      </c>
      <c r="BP38">
        <v>791671845</v>
      </c>
      <c r="BQ38" t="s">
        <v>210</v>
      </c>
      <c r="BR38" s="1">
        <v>46198.299444444441</v>
      </c>
      <c r="BU38" t="s">
        <v>86</v>
      </c>
      <c r="BW38" t="s">
        <v>87</v>
      </c>
      <c r="BY38" t="s">
        <v>211</v>
      </c>
      <c r="BZ38">
        <v>37</v>
      </c>
    </row>
    <row r="39" spans="1:78" x14ac:dyDescent="0.2">
      <c r="A39" s="1">
        <v>46198.433982141207</v>
      </c>
      <c r="B39" s="1">
        <v>46198.532711041669</v>
      </c>
      <c r="D39" t="s">
        <v>78</v>
      </c>
      <c r="J39" t="s">
        <v>106</v>
      </c>
      <c r="L39" t="s">
        <v>78</v>
      </c>
      <c r="M39">
        <v>29</v>
      </c>
      <c r="N39">
        <v>20</v>
      </c>
      <c r="O39">
        <v>24</v>
      </c>
      <c r="P39" t="s">
        <v>98</v>
      </c>
      <c r="Q39" t="s">
        <v>78</v>
      </c>
      <c r="R39">
        <v>1</v>
      </c>
      <c r="S39">
        <v>0</v>
      </c>
      <c r="T39" t="s">
        <v>212</v>
      </c>
      <c r="U39" t="s">
        <v>80</v>
      </c>
      <c r="W39">
        <v>100000</v>
      </c>
      <c r="X39">
        <v>100000</v>
      </c>
      <c r="Y39" t="s">
        <v>81</v>
      </c>
      <c r="AA39" t="s">
        <v>78</v>
      </c>
      <c r="AD39" t="s">
        <v>78</v>
      </c>
      <c r="AE39">
        <v>400000</v>
      </c>
      <c r="AF39" t="s">
        <v>92</v>
      </c>
      <c r="AH39" t="s">
        <v>83</v>
      </c>
      <c r="AI39">
        <v>1</v>
      </c>
      <c r="AJ39">
        <v>0</v>
      </c>
      <c r="AK39">
        <v>0</v>
      </c>
      <c r="AL39">
        <v>0</v>
      </c>
      <c r="AU39" t="s">
        <v>213</v>
      </c>
      <c r="AY39" t="s">
        <v>94</v>
      </c>
      <c r="AZ39">
        <v>0</v>
      </c>
      <c r="BA39">
        <v>0</v>
      </c>
      <c r="BB39">
        <v>0</v>
      </c>
      <c r="BC39">
        <v>1</v>
      </c>
      <c r="BG39" t="s">
        <v>78</v>
      </c>
      <c r="BI39" t="s">
        <v>78</v>
      </c>
      <c r="BP39">
        <v>791677342</v>
      </c>
      <c r="BQ39" t="s">
        <v>214</v>
      </c>
      <c r="BR39" s="1">
        <v>46198.303530092591</v>
      </c>
      <c r="BU39" t="s">
        <v>86</v>
      </c>
      <c r="BW39" t="s">
        <v>87</v>
      </c>
      <c r="BY39" t="s">
        <v>215</v>
      </c>
      <c r="BZ39">
        <v>38</v>
      </c>
    </row>
    <row r="40" spans="1:78" x14ac:dyDescent="0.2">
      <c r="A40" s="1">
        <v>46198.532628576388</v>
      </c>
      <c r="B40" s="1">
        <v>46198.536776238427</v>
      </c>
      <c r="D40" t="s">
        <v>78</v>
      </c>
      <c r="J40" t="s">
        <v>106</v>
      </c>
      <c r="L40" t="s">
        <v>78</v>
      </c>
      <c r="O40">
        <v>3</v>
      </c>
      <c r="P40" t="s">
        <v>81</v>
      </c>
      <c r="Q40" t="s">
        <v>78</v>
      </c>
      <c r="R40">
        <v>1</v>
      </c>
      <c r="S40">
        <v>0</v>
      </c>
      <c r="T40" t="s">
        <v>216</v>
      </c>
      <c r="U40" t="s">
        <v>80</v>
      </c>
      <c r="W40">
        <v>25000</v>
      </c>
      <c r="X40">
        <v>18000</v>
      </c>
      <c r="Y40" t="s">
        <v>81</v>
      </c>
      <c r="AA40" t="s">
        <v>78</v>
      </c>
      <c r="AD40" t="s">
        <v>78</v>
      </c>
      <c r="AF40" t="s">
        <v>142</v>
      </c>
      <c r="AH40" t="s">
        <v>83</v>
      </c>
      <c r="AI40">
        <v>1</v>
      </c>
      <c r="AJ40">
        <v>0</v>
      </c>
      <c r="AK40">
        <v>0</v>
      </c>
      <c r="AL40">
        <v>0</v>
      </c>
      <c r="AU40" t="s">
        <v>217</v>
      </c>
      <c r="AY40" t="s">
        <v>218</v>
      </c>
      <c r="AZ40">
        <v>0</v>
      </c>
      <c r="BA40">
        <v>1</v>
      </c>
      <c r="BB40">
        <v>1</v>
      </c>
      <c r="BC40">
        <v>0</v>
      </c>
      <c r="BG40" t="s">
        <v>81</v>
      </c>
      <c r="BI40" t="s">
        <v>81</v>
      </c>
      <c r="BP40">
        <v>791683247</v>
      </c>
      <c r="BQ40" t="s">
        <v>219</v>
      </c>
      <c r="BR40" s="1">
        <v>46198.307627314818</v>
      </c>
      <c r="BU40" t="s">
        <v>86</v>
      </c>
      <c r="BW40" t="s">
        <v>87</v>
      </c>
      <c r="BY40" t="s">
        <v>220</v>
      </c>
      <c r="BZ40">
        <v>39</v>
      </c>
    </row>
    <row r="41" spans="1:78" x14ac:dyDescent="0.2">
      <c r="A41" s="1">
        <v>46198.527727858796</v>
      </c>
      <c r="B41" s="1">
        <v>46198.537378148147</v>
      </c>
      <c r="D41" t="s">
        <v>78</v>
      </c>
      <c r="J41" t="s">
        <v>102</v>
      </c>
      <c r="L41" t="s">
        <v>78</v>
      </c>
      <c r="M41">
        <v>0</v>
      </c>
      <c r="N41">
        <v>0</v>
      </c>
      <c r="O41">
        <v>0</v>
      </c>
      <c r="P41" t="s">
        <v>81</v>
      </c>
      <c r="Q41" t="s">
        <v>78</v>
      </c>
      <c r="R41">
        <v>1</v>
      </c>
      <c r="S41">
        <v>0</v>
      </c>
      <c r="T41" t="s">
        <v>221</v>
      </c>
      <c r="U41" t="s">
        <v>80</v>
      </c>
      <c r="W41">
        <v>2000</v>
      </c>
      <c r="X41">
        <v>1800</v>
      </c>
      <c r="Y41" t="s">
        <v>81</v>
      </c>
      <c r="AA41" t="s">
        <v>81</v>
      </c>
      <c r="AD41" t="s">
        <v>81</v>
      </c>
      <c r="AE41">
        <v>50</v>
      </c>
      <c r="AF41" t="s">
        <v>92</v>
      </c>
      <c r="AH41" t="s">
        <v>83</v>
      </c>
      <c r="AI41">
        <v>1</v>
      </c>
      <c r="AJ41">
        <v>0</v>
      </c>
      <c r="AK41">
        <v>0</v>
      </c>
      <c r="AL41">
        <v>0</v>
      </c>
      <c r="AU41" t="s">
        <v>93</v>
      </c>
      <c r="BG41" t="s">
        <v>81</v>
      </c>
      <c r="BI41" t="s">
        <v>78</v>
      </c>
      <c r="BP41">
        <v>791684408</v>
      </c>
      <c r="BQ41" t="s">
        <v>222</v>
      </c>
      <c r="BR41" s="1">
        <v>46198.308229166672</v>
      </c>
      <c r="BU41" t="s">
        <v>86</v>
      </c>
      <c r="BW41" t="s">
        <v>87</v>
      </c>
      <c r="BY41" t="s">
        <v>223</v>
      </c>
      <c r="BZ41">
        <v>40</v>
      </c>
    </row>
    <row r="42" spans="1:78" x14ac:dyDescent="0.2">
      <c r="A42" s="1">
        <v>46198.525690393522</v>
      </c>
      <c r="B42" s="1">
        <v>46198.549357349541</v>
      </c>
      <c r="D42" t="s">
        <v>78</v>
      </c>
      <c r="J42" t="s">
        <v>106</v>
      </c>
      <c r="L42" t="s">
        <v>78</v>
      </c>
      <c r="M42">
        <v>8</v>
      </c>
      <c r="N42">
        <v>0</v>
      </c>
      <c r="O42">
        <v>0</v>
      </c>
      <c r="P42" t="s">
        <v>81</v>
      </c>
      <c r="Q42" t="s">
        <v>78</v>
      </c>
      <c r="R42">
        <v>1</v>
      </c>
      <c r="S42">
        <v>0</v>
      </c>
      <c r="T42" t="s">
        <v>160</v>
      </c>
      <c r="U42" t="s">
        <v>80</v>
      </c>
      <c r="W42">
        <v>21000</v>
      </c>
      <c r="Y42" t="s">
        <v>81</v>
      </c>
      <c r="AA42" t="s">
        <v>81</v>
      </c>
      <c r="AD42" t="s">
        <v>81</v>
      </c>
      <c r="AE42">
        <v>2000</v>
      </c>
      <c r="AF42" t="s">
        <v>142</v>
      </c>
      <c r="AH42" t="s">
        <v>83</v>
      </c>
      <c r="AI42">
        <v>1</v>
      </c>
      <c r="AJ42">
        <v>0</v>
      </c>
      <c r="AK42">
        <v>0</v>
      </c>
      <c r="AL42">
        <v>0</v>
      </c>
      <c r="AU42" t="s">
        <v>224</v>
      </c>
      <c r="AY42" t="s">
        <v>103</v>
      </c>
      <c r="AZ42">
        <v>1</v>
      </c>
      <c r="BA42">
        <v>0</v>
      </c>
      <c r="BB42">
        <v>0</v>
      </c>
      <c r="BC42">
        <v>0</v>
      </c>
      <c r="BG42" t="s">
        <v>81</v>
      </c>
      <c r="BI42" t="s">
        <v>78</v>
      </c>
      <c r="BP42">
        <v>791703569</v>
      </c>
      <c r="BQ42" t="s">
        <v>225</v>
      </c>
      <c r="BR42" s="1">
        <v>46198.320243055547</v>
      </c>
      <c r="BU42" t="s">
        <v>86</v>
      </c>
      <c r="BW42" t="s">
        <v>87</v>
      </c>
      <c r="BY42" t="s">
        <v>226</v>
      </c>
      <c r="BZ42">
        <v>41</v>
      </c>
    </row>
    <row r="43" spans="1:78" x14ac:dyDescent="0.2">
      <c r="A43" s="1">
        <v>46198.532712627311</v>
      </c>
      <c r="B43" s="1">
        <v>46198.575466898154</v>
      </c>
      <c r="D43" t="s">
        <v>78</v>
      </c>
      <c r="J43" t="s">
        <v>97</v>
      </c>
      <c r="L43" t="s">
        <v>78</v>
      </c>
      <c r="M43">
        <v>8</v>
      </c>
      <c r="O43">
        <v>8</v>
      </c>
      <c r="P43" t="s">
        <v>81</v>
      </c>
      <c r="Q43" t="s">
        <v>78</v>
      </c>
      <c r="R43">
        <v>1</v>
      </c>
      <c r="S43">
        <v>0</v>
      </c>
      <c r="T43" t="s">
        <v>227</v>
      </c>
      <c r="U43" t="s">
        <v>80</v>
      </c>
      <c r="W43">
        <v>800</v>
      </c>
      <c r="X43">
        <v>600</v>
      </c>
      <c r="Y43" t="s">
        <v>81</v>
      </c>
      <c r="AA43" t="s">
        <v>81</v>
      </c>
      <c r="AD43" t="s">
        <v>81</v>
      </c>
      <c r="AE43">
        <v>2000</v>
      </c>
      <c r="AF43" t="s">
        <v>82</v>
      </c>
      <c r="AH43" t="s">
        <v>83</v>
      </c>
      <c r="AI43">
        <v>1</v>
      </c>
      <c r="AJ43">
        <v>0</v>
      </c>
      <c r="AK43">
        <v>0</v>
      </c>
      <c r="AL43">
        <v>0</v>
      </c>
      <c r="AU43" t="s">
        <v>228</v>
      </c>
      <c r="BG43" t="s">
        <v>81</v>
      </c>
      <c r="BI43" t="s">
        <v>81</v>
      </c>
      <c r="BP43">
        <v>791743548</v>
      </c>
      <c r="BQ43" t="s">
        <v>229</v>
      </c>
      <c r="BR43" s="1">
        <v>46198.346307870372</v>
      </c>
      <c r="BU43" t="s">
        <v>86</v>
      </c>
      <c r="BW43" t="s">
        <v>87</v>
      </c>
      <c r="BY43" t="s">
        <v>230</v>
      </c>
      <c r="BZ43">
        <v>42</v>
      </c>
    </row>
    <row r="44" spans="1:78" x14ac:dyDescent="0.2">
      <c r="A44" s="1">
        <v>46198.537378472232</v>
      </c>
      <c r="B44" s="1">
        <v>46198.586900046299</v>
      </c>
      <c r="D44" t="s">
        <v>78</v>
      </c>
      <c r="J44" t="s">
        <v>97</v>
      </c>
      <c r="L44" t="s">
        <v>78</v>
      </c>
      <c r="M44">
        <v>5</v>
      </c>
      <c r="N44">
        <v>0</v>
      </c>
      <c r="O44">
        <v>5</v>
      </c>
      <c r="P44" t="s">
        <v>81</v>
      </c>
      <c r="Q44" t="s">
        <v>78</v>
      </c>
      <c r="R44">
        <v>1</v>
      </c>
      <c r="S44">
        <v>0</v>
      </c>
      <c r="T44" t="s">
        <v>231</v>
      </c>
      <c r="U44" t="s">
        <v>80</v>
      </c>
      <c r="W44">
        <v>3000</v>
      </c>
      <c r="X44">
        <v>2500</v>
      </c>
      <c r="Y44" t="s">
        <v>81</v>
      </c>
      <c r="AA44" t="s">
        <v>81</v>
      </c>
      <c r="AD44" t="s">
        <v>81</v>
      </c>
      <c r="AE44">
        <v>50</v>
      </c>
      <c r="AF44" t="s">
        <v>82</v>
      </c>
      <c r="AH44" t="s">
        <v>83</v>
      </c>
      <c r="AI44">
        <v>1</v>
      </c>
      <c r="AJ44">
        <v>0</v>
      </c>
      <c r="AK44">
        <v>0</v>
      </c>
      <c r="AL44">
        <v>0</v>
      </c>
      <c r="AY44" t="s">
        <v>103</v>
      </c>
      <c r="AZ44">
        <v>1</v>
      </c>
      <c r="BA44">
        <v>0</v>
      </c>
      <c r="BB44">
        <v>0</v>
      </c>
      <c r="BC44">
        <v>0</v>
      </c>
      <c r="BG44" t="s">
        <v>81</v>
      </c>
      <c r="BI44" t="s">
        <v>81</v>
      </c>
      <c r="BP44">
        <v>791765495</v>
      </c>
      <c r="BQ44" t="s">
        <v>232</v>
      </c>
      <c r="BR44" s="1">
        <v>46198.357835648138</v>
      </c>
      <c r="BU44" t="s">
        <v>86</v>
      </c>
      <c r="BW44" t="s">
        <v>87</v>
      </c>
      <c r="BY44" t="s">
        <v>233</v>
      </c>
      <c r="BZ44">
        <v>43</v>
      </c>
    </row>
    <row r="45" spans="1:78" x14ac:dyDescent="0.2">
      <c r="A45" s="1">
        <v>46198.536776469897</v>
      </c>
      <c r="B45" s="1">
        <v>46198.590436921288</v>
      </c>
      <c r="D45" t="s">
        <v>78</v>
      </c>
      <c r="J45" t="s">
        <v>106</v>
      </c>
      <c r="L45" t="s">
        <v>78</v>
      </c>
      <c r="M45">
        <v>5</v>
      </c>
      <c r="N45">
        <v>0</v>
      </c>
      <c r="O45">
        <v>0</v>
      </c>
      <c r="P45" t="s">
        <v>81</v>
      </c>
      <c r="Q45" t="s">
        <v>78</v>
      </c>
      <c r="R45">
        <v>1</v>
      </c>
      <c r="S45">
        <v>0</v>
      </c>
      <c r="T45" t="s">
        <v>234</v>
      </c>
      <c r="U45" t="s">
        <v>80</v>
      </c>
      <c r="W45">
        <v>18000</v>
      </c>
      <c r="X45">
        <v>16000</v>
      </c>
      <c r="Y45" t="s">
        <v>81</v>
      </c>
      <c r="AA45" t="s">
        <v>78</v>
      </c>
      <c r="AD45" t="s">
        <v>78</v>
      </c>
      <c r="AE45">
        <v>0</v>
      </c>
      <c r="AF45" t="s">
        <v>92</v>
      </c>
      <c r="AH45" t="s">
        <v>83</v>
      </c>
      <c r="AI45">
        <v>1</v>
      </c>
      <c r="AJ45">
        <v>0</v>
      </c>
      <c r="AK45">
        <v>0</v>
      </c>
      <c r="AL45">
        <v>0</v>
      </c>
      <c r="AU45" t="s">
        <v>235</v>
      </c>
      <c r="AY45" t="s">
        <v>209</v>
      </c>
      <c r="AZ45">
        <v>1</v>
      </c>
      <c r="BA45">
        <v>1</v>
      </c>
      <c r="BB45">
        <v>0</v>
      </c>
      <c r="BC45">
        <v>0</v>
      </c>
      <c r="BG45" t="s">
        <v>81</v>
      </c>
      <c r="BI45" t="s">
        <v>81</v>
      </c>
      <c r="BP45">
        <v>791771786</v>
      </c>
      <c r="BQ45" t="s">
        <v>236</v>
      </c>
      <c r="BR45" s="1">
        <v>46198.361273148148</v>
      </c>
      <c r="BU45" t="s">
        <v>86</v>
      </c>
      <c r="BW45" t="s">
        <v>87</v>
      </c>
      <c r="BY45" t="s">
        <v>237</v>
      </c>
      <c r="BZ45">
        <v>44</v>
      </c>
    </row>
    <row r="46" spans="1:78" x14ac:dyDescent="0.2">
      <c r="A46" s="1">
        <v>46198.590437175917</v>
      </c>
      <c r="B46" s="1">
        <v>46198.596980740738</v>
      </c>
      <c r="D46" t="s">
        <v>78</v>
      </c>
      <c r="J46" t="s">
        <v>106</v>
      </c>
      <c r="L46" t="s">
        <v>81</v>
      </c>
      <c r="M46">
        <v>13</v>
      </c>
      <c r="N46">
        <v>0</v>
      </c>
      <c r="O46">
        <v>13</v>
      </c>
      <c r="P46" t="s">
        <v>98</v>
      </c>
      <c r="Q46" t="s">
        <v>78</v>
      </c>
      <c r="R46">
        <v>1</v>
      </c>
      <c r="S46">
        <v>0</v>
      </c>
      <c r="T46" t="s">
        <v>238</v>
      </c>
      <c r="U46" t="s">
        <v>80</v>
      </c>
      <c r="W46">
        <v>30000</v>
      </c>
      <c r="X46">
        <v>25000</v>
      </c>
      <c r="Y46" t="s">
        <v>81</v>
      </c>
      <c r="AA46" t="s">
        <v>78</v>
      </c>
      <c r="AD46" t="s">
        <v>78</v>
      </c>
      <c r="AE46">
        <v>0</v>
      </c>
      <c r="AF46" t="s">
        <v>92</v>
      </c>
      <c r="AH46" t="s">
        <v>83</v>
      </c>
      <c r="AI46">
        <v>1</v>
      </c>
      <c r="AJ46">
        <v>0</v>
      </c>
      <c r="AK46">
        <v>0</v>
      </c>
      <c r="AL46">
        <v>0</v>
      </c>
      <c r="AU46" t="s">
        <v>239</v>
      </c>
      <c r="AY46" t="s">
        <v>153</v>
      </c>
      <c r="AZ46">
        <v>1</v>
      </c>
      <c r="BA46">
        <v>1</v>
      </c>
      <c r="BB46">
        <v>1</v>
      </c>
      <c r="BC46">
        <v>0</v>
      </c>
      <c r="BG46" t="s">
        <v>81</v>
      </c>
      <c r="BI46" t="s">
        <v>78</v>
      </c>
      <c r="BP46">
        <v>791785090</v>
      </c>
      <c r="BQ46" t="s">
        <v>240</v>
      </c>
      <c r="BR46" s="1">
        <v>46198.367974537039</v>
      </c>
      <c r="BU46" t="s">
        <v>86</v>
      </c>
      <c r="BW46" t="s">
        <v>87</v>
      </c>
      <c r="BY46" t="s">
        <v>241</v>
      </c>
      <c r="BZ46">
        <v>45</v>
      </c>
    </row>
    <row r="47" spans="1:78" x14ac:dyDescent="0.2">
      <c r="A47" s="1">
        <v>46198.593654293982</v>
      </c>
      <c r="B47" s="1">
        <v>46198.599411863433</v>
      </c>
      <c r="D47" t="s">
        <v>78</v>
      </c>
      <c r="J47" t="s">
        <v>102</v>
      </c>
      <c r="L47" t="s">
        <v>81</v>
      </c>
      <c r="M47">
        <v>3</v>
      </c>
      <c r="N47">
        <v>0</v>
      </c>
      <c r="O47">
        <v>0</v>
      </c>
      <c r="P47" t="s">
        <v>81</v>
      </c>
      <c r="Q47" t="s">
        <v>78</v>
      </c>
      <c r="R47">
        <v>1</v>
      </c>
      <c r="S47">
        <v>0</v>
      </c>
      <c r="T47" t="s">
        <v>81</v>
      </c>
      <c r="U47" t="s">
        <v>80</v>
      </c>
      <c r="W47">
        <v>10000</v>
      </c>
      <c r="X47">
        <v>10000</v>
      </c>
      <c r="Y47" t="s">
        <v>81</v>
      </c>
      <c r="AA47" t="s">
        <v>81</v>
      </c>
      <c r="AD47" t="s">
        <v>81</v>
      </c>
      <c r="AF47" t="s">
        <v>142</v>
      </c>
      <c r="AH47" t="s">
        <v>83</v>
      </c>
      <c r="AI47">
        <v>1</v>
      </c>
      <c r="AJ47">
        <v>0</v>
      </c>
      <c r="AK47">
        <v>0</v>
      </c>
      <c r="AL47">
        <v>0</v>
      </c>
      <c r="AY47" t="s">
        <v>94</v>
      </c>
      <c r="AZ47">
        <v>0</v>
      </c>
      <c r="BA47">
        <v>0</v>
      </c>
      <c r="BB47">
        <v>0</v>
      </c>
      <c r="BC47">
        <v>1</v>
      </c>
      <c r="BG47" t="s">
        <v>81</v>
      </c>
      <c r="BI47" t="s">
        <v>81</v>
      </c>
      <c r="BP47">
        <v>791789624</v>
      </c>
      <c r="BQ47" t="s">
        <v>242</v>
      </c>
      <c r="BR47" s="1">
        <v>46198.370243055557</v>
      </c>
      <c r="BU47" t="s">
        <v>86</v>
      </c>
      <c r="BW47" t="s">
        <v>87</v>
      </c>
      <c r="BY47" t="s">
        <v>243</v>
      </c>
      <c r="BZ47">
        <v>46</v>
      </c>
    </row>
    <row r="48" spans="1:78" x14ac:dyDescent="0.2">
      <c r="A48" s="1">
        <v>46198.604618148151</v>
      </c>
      <c r="B48" s="1">
        <v>46198.612502002317</v>
      </c>
      <c r="D48" t="s">
        <v>78</v>
      </c>
      <c r="J48" t="s">
        <v>97</v>
      </c>
      <c r="L48" t="s">
        <v>78</v>
      </c>
      <c r="M48">
        <v>3</v>
      </c>
      <c r="N48">
        <v>0</v>
      </c>
      <c r="O48">
        <v>1</v>
      </c>
      <c r="P48" t="s">
        <v>81</v>
      </c>
      <c r="Q48" t="s">
        <v>78</v>
      </c>
      <c r="R48">
        <v>1</v>
      </c>
      <c r="S48">
        <v>0</v>
      </c>
      <c r="T48" t="s">
        <v>244</v>
      </c>
      <c r="U48" t="s">
        <v>80</v>
      </c>
      <c r="W48">
        <v>2500</v>
      </c>
      <c r="X48">
        <v>2500</v>
      </c>
      <c r="Y48" t="s">
        <v>81</v>
      </c>
      <c r="AA48" t="s">
        <v>81</v>
      </c>
      <c r="AD48" t="s">
        <v>81</v>
      </c>
      <c r="AE48">
        <v>500</v>
      </c>
      <c r="AF48" t="s">
        <v>82</v>
      </c>
      <c r="AH48" t="s">
        <v>83</v>
      </c>
      <c r="AI48">
        <v>1</v>
      </c>
      <c r="AJ48">
        <v>0</v>
      </c>
      <c r="AK48">
        <v>0</v>
      </c>
      <c r="AL48">
        <v>0</v>
      </c>
      <c r="BG48" t="s">
        <v>81</v>
      </c>
      <c r="BI48" t="s">
        <v>81</v>
      </c>
      <c r="BP48">
        <v>791816572</v>
      </c>
      <c r="BQ48" t="s">
        <v>245</v>
      </c>
      <c r="BR48" s="1">
        <v>46198.383368055547</v>
      </c>
      <c r="BU48" t="s">
        <v>86</v>
      </c>
      <c r="BW48" t="s">
        <v>87</v>
      </c>
      <c r="BY48" t="s">
        <v>246</v>
      </c>
      <c r="BZ48">
        <v>47</v>
      </c>
    </row>
    <row r="49" spans="1:78" x14ac:dyDescent="0.2">
      <c r="A49" s="1">
        <v>46198.612503692129</v>
      </c>
      <c r="B49" s="1">
        <v>46198.615530081021</v>
      </c>
      <c r="D49" t="s">
        <v>78</v>
      </c>
      <c r="J49" t="s">
        <v>97</v>
      </c>
      <c r="L49" t="s">
        <v>78</v>
      </c>
      <c r="M49">
        <v>9</v>
      </c>
      <c r="N49">
        <v>1</v>
      </c>
      <c r="O49">
        <v>4</v>
      </c>
      <c r="P49" t="s">
        <v>81</v>
      </c>
      <c r="Q49" t="s">
        <v>78</v>
      </c>
      <c r="R49">
        <v>1</v>
      </c>
      <c r="S49">
        <v>0</v>
      </c>
      <c r="T49" t="s">
        <v>247</v>
      </c>
      <c r="U49" t="s">
        <v>80</v>
      </c>
      <c r="W49">
        <v>20000</v>
      </c>
      <c r="X49">
        <v>15000</v>
      </c>
      <c r="Y49" t="s">
        <v>81</v>
      </c>
      <c r="AA49" t="s">
        <v>81</v>
      </c>
      <c r="AD49" t="s">
        <v>81</v>
      </c>
      <c r="AE49">
        <v>4000</v>
      </c>
      <c r="AF49" t="s">
        <v>92</v>
      </c>
      <c r="AH49" t="s">
        <v>83</v>
      </c>
      <c r="AI49">
        <v>1</v>
      </c>
      <c r="AJ49">
        <v>0</v>
      </c>
      <c r="AK49">
        <v>0</v>
      </c>
      <c r="AL49">
        <v>0</v>
      </c>
      <c r="BG49" t="s">
        <v>81</v>
      </c>
      <c r="BI49" t="s">
        <v>78</v>
      </c>
      <c r="BP49">
        <v>791822971</v>
      </c>
      <c r="BQ49" t="s">
        <v>248</v>
      </c>
      <c r="BR49" s="1">
        <v>46198.386377314811</v>
      </c>
      <c r="BU49" t="s">
        <v>86</v>
      </c>
      <c r="BW49" t="s">
        <v>87</v>
      </c>
      <c r="BY49" t="s">
        <v>249</v>
      </c>
      <c r="BZ49">
        <v>48</v>
      </c>
    </row>
    <row r="50" spans="1:78" x14ac:dyDescent="0.2">
      <c r="A50" s="1">
        <v>46198.615530625</v>
      </c>
      <c r="B50" s="1">
        <v>46198.61975701389</v>
      </c>
      <c r="D50" t="s">
        <v>78</v>
      </c>
      <c r="J50" t="s">
        <v>102</v>
      </c>
      <c r="L50" t="s">
        <v>78</v>
      </c>
      <c r="M50">
        <v>4</v>
      </c>
      <c r="N50">
        <v>0</v>
      </c>
      <c r="O50">
        <v>0</v>
      </c>
      <c r="P50" t="s">
        <v>81</v>
      </c>
      <c r="Q50" t="s">
        <v>78</v>
      </c>
      <c r="R50">
        <v>1</v>
      </c>
      <c r="S50">
        <v>0</v>
      </c>
      <c r="W50">
        <v>1300</v>
      </c>
      <c r="X50">
        <v>1300</v>
      </c>
      <c r="Y50" t="s">
        <v>81</v>
      </c>
      <c r="AA50" t="s">
        <v>81</v>
      </c>
      <c r="AD50" t="s">
        <v>81</v>
      </c>
      <c r="AE50">
        <v>0</v>
      </c>
      <c r="AF50" t="s">
        <v>82</v>
      </c>
      <c r="AH50" t="s">
        <v>134</v>
      </c>
      <c r="AI50">
        <v>0</v>
      </c>
      <c r="AJ50">
        <v>0</v>
      </c>
      <c r="AK50">
        <v>0</v>
      </c>
      <c r="AL50">
        <v>1</v>
      </c>
      <c r="BG50" t="s">
        <v>81</v>
      </c>
      <c r="BI50" t="s">
        <v>81</v>
      </c>
      <c r="BP50">
        <v>791832800</v>
      </c>
      <c r="BQ50" t="s">
        <v>250</v>
      </c>
      <c r="BR50" s="1">
        <v>46198.390648148154</v>
      </c>
      <c r="BU50" t="s">
        <v>86</v>
      </c>
      <c r="BW50" t="s">
        <v>87</v>
      </c>
      <c r="BY50" t="s">
        <v>251</v>
      </c>
      <c r="BZ50">
        <v>49</v>
      </c>
    </row>
    <row r="51" spans="1:78" x14ac:dyDescent="0.2">
      <c r="A51" s="1">
        <v>46198.61975813657</v>
      </c>
      <c r="B51" s="1">
        <v>46198.625929189817</v>
      </c>
      <c r="D51" t="s">
        <v>78</v>
      </c>
      <c r="J51" t="s">
        <v>89</v>
      </c>
      <c r="K51" t="s">
        <v>252</v>
      </c>
      <c r="L51" t="s">
        <v>78</v>
      </c>
      <c r="M51">
        <v>2</v>
      </c>
      <c r="N51">
        <v>2</v>
      </c>
      <c r="O51">
        <v>2</v>
      </c>
      <c r="P51" t="s">
        <v>81</v>
      </c>
      <c r="Q51" t="s">
        <v>78</v>
      </c>
      <c r="R51">
        <v>1</v>
      </c>
      <c r="S51">
        <v>0</v>
      </c>
      <c r="U51" t="s">
        <v>80</v>
      </c>
      <c r="W51">
        <v>3000</v>
      </c>
      <c r="X51">
        <v>3000</v>
      </c>
      <c r="Y51" t="s">
        <v>81</v>
      </c>
      <c r="AA51" t="s">
        <v>78</v>
      </c>
      <c r="AD51" t="s">
        <v>81</v>
      </c>
      <c r="AE51">
        <v>300</v>
      </c>
      <c r="AF51" t="s">
        <v>82</v>
      </c>
      <c r="AH51" t="s">
        <v>83</v>
      </c>
      <c r="AI51">
        <v>1</v>
      </c>
      <c r="AJ51">
        <v>0</v>
      </c>
      <c r="AK51">
        <v>0</v>
      </c>
      <c r="AL51">
        <v>0</v>
      </c>
      <c r="AU51" t="s">
        <v>253</v>
      </c>
      <c r="AY51" t="s">
        <v>254</v>
      </c>
      <c r="AZ51">
        <v>1</v>
      </c>
      <c r="BA51">
        <v>1</v>
      </c>
      <c r="BB51">
        <v>1</v>
      </c>
      <c r="BC51">
        <v>1</v>
      </c>
      <c r="BG51" t="s">
        <v>81</v>
      </c>
      <c r="BI51" t="s">
        <v>81</v>
      </c>
      <c r="BP51">
        <v>791846384</v>
      </c>
      <c r="BQ51" t="s">
        <v>255</v>
      </c>
      <c r="BR51" s="1">
        <v>46198.396782407413</v>
      </c>
      <c r="BU51" t="s">
        <v>86</v>
      </c>
      <c r="BW51" t="s">
        <v>87</v>
      </c>
      <c r="BY51" t="s">
        <v>256</v>
      </c>
      <c r="BZ51">
        <v>50</v>
      </c>
    </row>
    <row r="52" spans="1:78" x14ac:dyDescent="0.2">
      <c r="A52" s="1">
        <v>46198.525981018523</v>
      </c>
      <c r="B52" s="1">
        <v>46198.63196554398</v>
      </c>
      <c r="D52" t="s">
        <v>78</v>
      </c>
      <c r="J52" t="s">
        <v>97</v>
      </c>
      <c r="L52" t="s">
        <v>78</v>
      </c>
      <c r="M52">
        <v>2</v>
      </c>
      <c r="N52">
        <v>0</v>
      </c>
      <c r="O52">
        <v>2</v>
      </c>
      <c r="P52" t="s">
        <v>81</v>
      </c>
      <c r="Q52" t="s">
        <v>78</v>
      </c>
      <c r="R52">
        <v>1</v>
      </c>
      <c r="S52">
        <v>0</v>
      </c>
      <c r="T52" t="s">
        <v>257</v>
      </c>
      <c r="U52" t="s">
        <v>80</v>
      </c>
      <c r="W52">
        <v>8000</v>
      </c>
      <c r="Y52" t="s">
        <v>81</v>
      </c>
      <c r="AA52" t="s">
        <v>81</v>
      </c>
      <c r="AD52" t="s">
        <v>81</v>
      </c>
      <c r="AF52" t="s">
        <v>92</v>
      </c>
      <c r="AH52" t="s">
        <v>83</v>
      </c>
      <c r="AI52">
        <v>1</v>
      </c>
      <c r="AJ52">
        <v>0</v>
      </c>
      <c r="AK52">
        <v>0</v>
      </c>
      <c r="AL52">
        <v>0</v>
      </c>
      <c r="AU52" t="s">
        <v>81</v>
      </c>
      <c r="BG52" t="s">
        <v>81</v>
      </c>
      <c r="BI52" t="s">
        <v>78</v>
      </c>
      <c r="BP52">
        <v>791859337</v>
      </c>
      <c r="BQ52" t="s">
        <v>258</v>
      </c>
      <c r="BR52" s="1">
        <v>46198.402858796297</v>
      </c>
      <c r="BU52" t="s">
        <v>86</v>
      </c>
      <c r="BW52" t="s">
        <v>87</v>
      </c>
      <c r="BY52" t="s">
        <v>259</v>
      </c>
      <c r="BZ52">
        <v>51</v>
      </c>
    </row>
    <row r="53" spans="1:78" x14ac:dyDescent="0.2">
      <c r="A53" s="1">
        <v>46198.515240567132</v>
      </c>
      <c r="B53" s="1">
        <v>46198.52329621528</v>
      </c>
      <c r="D53" t="s">
        <v>78</v>
      </c>
      <c r="J53" t="s">
        <v>106</v>
      </c>
      <c r="L53" t="s">
        <v>78</v>
      </c>
      <c r="M53">
        <v>22</v>
      </c>
      <c r="N53">
        <v>0</v>
      </c>
      <c r="O53">
        <v>5</v>
      </c>
      <c r="P53" t="s">
        <v>98</v>
      </c>
      <c r="Q53" t="s">
        <v>78</v>
      </c>
      <c r="R53">
        <v>1</v>
      </c>
      <c r="S53">
        <v>0</v>
      </c>
      <c r="T53" t="s">
        <v>199</v>
      </c>
      <c r="U53" t="s">
        <v>80</v>
      </c>
      <c r="W53">
        <v>35000</v>
      </c>
      <c r="X53">
        <v>20000</v>
      </c>
      <c r="Y53" t="s">
        <v>81</v>
      </c>
      <c r="AA53" t="s">
        <v>81</v>
      </c>
      <c r="AD53" t="s">
        <v>81</v>
      </c>
      <c r="AE53">
        <v>22000</v>
      </c>
      <c r="AF53" t="s">
        <v>92</v>
      </c>
      <c r="AH53" t="s">
        <v>83</v>
      </c>
      <c r="AI53">
        <v>1</v>
      </c>
      <c r="AJ53">
        <v>0</v>
      </c>
      <c r="AK53">
        <v>0</v>
      </c>
      <c r="AL53">
        <v>0</v>
      </c>
      <c r="BG53" t="s">
        <v>81</v>
      </c>
      <c r="BI53" t="s">
        <v>81</v>
      </c>
      <c r="BP53">
        <v>791872613</v>
      </c>
      <c r="BQ53" t="s">
        <v>260</v>
      </c>
      <c r="BR53" s="1">
        <v>46198.409305555557</v>
      </c>
      <c r="BU53" t="s">
        <v>86</v>
      </c>
      <c r="BW53" t="s">
        <v>87</v>
      </c>
      <c r="BY53" t="s">
        <v>261</v>
      </c>
      <c r="BZ53">
        <v>52</v>
      </c>
    </row>
    <row r="54" spans="1:78" x14ac:dyDescent="0.2">
      <c r="A54" s="1">
        <v>46198.631965821762</v>
      </c>
      <c r="B54" s="1">
        <v>46198.638664375001</v>
      </c>
      <c r="D54" t="s">
        <v>78</v>
      </c>
      <c r="J54" t="s">
        <v>102</v>
      </c>
      <c r="L54" t="s">
        <v>78</v>
      </c>
      <c r="M54">
        <v>4</v>
      </c>
      <c r="O54">
        <v>4</v>
      </c>
      <c r="P54" t="s">
        <v>98</v>
      </c>
      <c r="Q54" t="s">
        <v>78</v>
      </c>
      <c r="R54">
        <v>1</v>
      </c>
      <c r="S54">
        <v>0</v>
      </c>
      <c r="T54" t="s">
        <v>262</v>
      </c>
      <c r="U54" t="s">
        <v>80</v>
      </c>
      <c r="W54">
        <v>3000</v>
      </c>
      <c r="X54">
        <v>2000</v>
      </c>
      <c r="Y54" t="s">
        <v>81</v>
      </c>
      <c r="AA54" t="s">
        <v>78</v>
      </c>
      <c r="AE54">
        <v>300</v>
      </c>
      <c r="AF54" t="s">
        <v>82</v>
      </c>
      <c r="AH54" t="s">
        <v>83</v>
      </c>
      <c r="AI54">
        <v>1</v>
      </c>
      <c r="AJ54">
        <v>0</v>
      </c>
      <c r="AK54">
        <v>0</v>
      </c>
      <c r="AL54">
        <v>0</v>
      </c>
      <c r="AU54" t="s">
        <v>81</v>
      </c>
      <c r="BG54" t="s">
        <v>81</v>
      </c>
      <c r="BI54" t="s">
        <v>81</v>
      </c>
      <c r="BP54">
        <v>791873071</v>
      </c>
      <c r="BQ54" t="s">
        <v>263</v>
      </c>
      <c r="BR54" s="1">
        <v>46198.409490740742</v>
      </c>
      <c r="BU54" t="s">
        <v>86</v>
      </c>
      <c r="BW54" t="s">
        <v>87</v>
      </c>
      <c r="BY54" t="s">
        <v>264</v>
      </c>
      <c r="BZ54">
        <v>53</v>
      </c>
    </row>
    <row r="55" spans="1:78" x14ac:dyDescent="0.2">
      <c r="A55" s="1">
        <v>46198.638664814818</v>
      </c>
      <c r="B55" s="1">
        <v>46198.63910709491</v>
      </c>
      <c r="BP55">
        <v>791874091</v>
      </c>
      <c r="BQ55" t="s">
        <v>265</v>
      </c>
      <c r="BR55" s="1">
        <v>46198.409953703696</v>
      </c>
      <c r="BU55" t="s">
        <v>86</v>
      </c>
      <c r="BW55" t="s">
        <v>87</v>
      </c>
      <c r="BY55" t="s">
        <v>266</v>
      </c>
      <c r="BZ55">
        <v>54</v>
      </c>
    </row>
    <row r="56" spans="1:78" x14ac:dyDescent="0.2">
      <c r="A56" s="1">
        <v>46198.51854675926</v>
      </c>
      <c r="B56" s="1">
        <v>46198.653224085647</v>
      </c>
      <c r="D56" t="s">
        <v>78</v>
      </c>
      <c r="J56" t="s">
        <v>267</v>
      </c>
      <c r="L56" t="s">
        <v>78</v>
      </c>
      <c r="M56">
        <v>3</v>
      </c>
      <c r="N56">
        <v>3</v>
      </c>
      <c r="O56">
        <v>0</v>
      </c>
      <c r="P56" t="s">
        <v>98</v>
      </c>
      <c r="Q56" t="s">
        <v>78</v>
      </c>
      <c r="R56">
        <v>1</v>
      </c>
      <c r="S56">
        <v>0</v>
      </c>
      <c r="T56" t="s">
        <v>268</v>
      </c>
      <c r="U56" t="s">
        <v>80</v>
      </c>
      <c r="W56">
        <v>3000</v>
      </c>
      <c r="X56">
        <v>3000</v>
      </c>
      <c r="Y56" t="s">
        <v>81</v>
      </c>
      <c r="AA56" t="s">
        <v>78</v>
      </c>
      <c r="AD56" t="s">
        <v>81</v>
      </c>
      <c r="AE56">
        <v>1000</v>
      </c>
      <c r="AF56" t="s">
        <v>92</v>
      </c>
      <c r="AH56" t="s">
        <v>83</v>
      </c>
      <c r="AI56">
        <v>1</v>
      </c>
      <c r="AJ56">
        <v>0</v>
      </c>
      <c r="AK56">
        <v>0</v>
      </c>
      <c r="AL56">
        <v>0</v>
      </c>
      <c r="AU56" t="s">
        <v>269</v>
      </c>
      <c r="BG56" t="s">
        <v>81</v>
      </c>
      <c r="BI56" t="s">
        <v>78</v>
      </c>
      <c r="BP56">
        <v>791904157</v>
      </c>
      <c r="BQ56" t="s">
        <v>270</v>
      </c>
      <c r="BR56" s="1">
        <v>46198.424074074072</v>
      </c>
      <c r="BU56" t="s">
        <v>86</v>
      </c>
      <c r="BW56" t="s">
        <v>87</v>
      </c>
      <c r="BY56" t="s">
        <v>271</v>
      </c>
      <c r="BZ56">
        <v>55</v>
      </c>
    </row>
    <row r="57" spans="1:78" x14ac:dyDescent="0.2">
      <c r="A57" s="1">
        <v>46199.410772476847</v>
      </c>
      <c r="B57" s="1">
        <v>46199.416910590277</v>
      </c>
      <c r="D57" t="s">
        <v>78</v>
      </c>
      <c r="J57" t="s">
        <v>89</v>
      </c>
      <c r="K57" t="s">
        <v>272</v>
      </c>
      <c r="L57" t="s">
        <v>81</v>
      </c>
      <c r="M57">
        <v>10</v>
      </c>
      <c r="N57">
        <v>20</v>
      </c>
      <c r="O57">
        <v>9</v>
      </c>
      <c r="P57" t="s">
        <v>81</v>
      </c>
      <c r="AA57" t="s">
        <v>81</v>
      </c>
      <c r="AD57" t="s">
        <v>81</v>
      </c>
      <c r="BP57">
        <v>792799437</v>
      </c>
      <c r="BQ57" t="s">
        <v>273</v>
      </c>
      <c r="BR57" s="1">
        <v>46199.187754629631</v>
      </c>
      <c r="BU57" t="s">
        <v>86</v>
      </c>
      <c r="BW57" t="s">
        <v>87</v>
      </c>
      <c r="BY57" t="s">
        <v>274</v>
      </c>
      <c r="BZ57">
        <v>56</v>
      </c>
    </row>
    <row r="58" spans="1:78" x14ac:dyDescent="0.2">
      <c r="A58" s="1">
        <v>46198.424763819443</v>
      </c>
      <c r="B58" s="1">
        <v>46199.420745057869</v>
      </c>
      <c r="D58" t="s">
        <v>78</v>
      </c>
      <c r="E58" t="s">
        <v>275</v>
      </c>
      <c r="F58">
        <v>29.390826000000001</v>
      </c>
      <c r="G58">
        <v>79.457109000000003</v>
      </c>
      <c r="H58">
        <v>1905.900024414062</v>
      </c>
      <c r="I58">
        <v>12.220999717712401</v>
      </c>
      <c r="J58" t="s">
        <v>97</v>
      </c>
      <c r="L58" t="s">
        <v>78</v>
      </c>
      <c r="M58">
        <v>30</v>
      </c>
      <c r="N58">
        <v>7</v>
      </c>
      <c r="O58">
        <v>4</v>
      </c>
      <c r="P58" t="s">
        <v>81</v>
      </c>
      <c r="Q58" t="s">
        <v>78</v>
      </c>
      <c r="R58">
        <v>1</v>
      </c>
      <c r="S58">
        <v>0</v>
      </c>
      <c r="T58" t="s">
        <v>276</v>
      </c>
      <c r="U58" t="s">
        <v>80</v>
      </c>
      <c r="W58">
        <v>30000</v>
      </c>
      <c r="X58">
        <v>25000</v>
      </c>
      <c r="Z58" t="s">
        <v>81</v>
      </c>
      <c r="AA58" t="s">
        <v>78</v>
      </c>
      <c r="AE58">
        <v>2000</v>
      </c>
      <c r="AF58" t="s">
        <v>92</v>
      </c>
      <c r="AG58" t="s">
        <v>277</v>
      </c>
      <c r="AH58" t="s">
        <v>83</v>
      </c>
      <c r="AI58">
        <v>1</v>
      </c>
      <c r="AJ58">
        <v>0</v>
      </c>
      <c r="AK58">
        <v>0</v>
      </c>
      <c r="AL58">
        <v>0</v>
      </c>
      <c r="AM58">
        <v>36000</v>
      </c>
      <c r="AN58">
        <v>60000</v>
      </c>
      <c r="BP58">
        <v>792801934</v>
      </c>
      <c r="BQ58" t="s">
        <v>278</v>
      </c>
      <c r="BR58" s="1">
        <v>46199.19158564815</v>
      </c>
      <c r="BU58" t="s">
        <v>86</v>
      </c>
      <c r="BW58" t="s">
        <v>279</v>
      </c>
      <c r="BY58" t="s">
        <v>280</v>
      </c>
      <c r="BZ58">
        <v>57</v>
      </c>
    </row>
    <row r="59" spans="1:78" x14ac:dyDescent="0.2">
      <c r="A59" s="1">
        <v>46198.523296504631</v>
      </c>
      <c r="B59" s="1">
        <v>46199.4241725463</v>
      </c>
      <c r="D59" t="s">
        <v>78</v>
      </c>
      <c r="J59" t="s">
        <v>102</v>
      </c>
      <c r="L59" t="s">
        <v>81</v>
      </c>
      <c r="M59">
        <v>2</v>
      </c>
      <c r="N59">
        <v>1</v>
      </c>
      <c r="O59">
        <v>0</v>
      </c>
      <c r="P59" t="s">
        <v>81</v>
      </c>
      <c r="Q59" t="s">
        <v>78</v>
      </c>
      <c r="R59">
        <v>1</v>
      </c>
      <c r="S59">
        <v>0</v>
      </c>
      <c r="T59" t="s">
        <v>281</v>
      </c>
      <c r="U59" t="s">
        <v>80</v>
      </c>
      <c r="W59">
        <v>2500</v>
      </c>
      <c r="X59">
        <v>1700</v>
      </c>
      <c r="Y59" t="s">
        <v>81</v>
      </c>
      <c r="AA59" t="s">
        <v>81</v>
      </c>
      <c r="AD59" t="s">
        <v>81</v>
      </c>
      <c r="AF59" t="s">
        <v>92</v>
      </c>
      <c r="AH59" t="s">
        <v>134</v>
      </c>
      <c r="AI59">
        <v>0</v>
      </c>
      <c r="AJ59">
        <v>0</v>
      </c>
      <c r="AK59">
        <v>0</v>
      </c>
      <c r="AL59">
        <v>1</v>
      </c>
      <c r="BG59" t="s">
        <v>81</v>
      </c>
      <c r="BI59" t="s">
        <v>78</v>
      </c>
      <c r="BP59">
        <v>792804562</v>
      </c>
      <c r="BQ59" t="s">
        <v>282</v>
      </c>
      <c r="BR59" s="1">
        <v>46199.195462962962</v>
      </c>
      <c r="BU59" t="s">
        <v>86</v>
      </c>
      <c r="BW59" t="s">
        <v>87</v>
      </c>
      <c r="BY59" t="s">
        <v>283</v>
      </c>
      <c r="BZ59">
        <v>58</v>
      </c>
    </row>
    <row r="60" spans="1:78" x14ac:dyDescent="0.2">
      <c r="A60" s="1">
        <v>46199.415220636583</v>
      </c>
      <c r="B60" s="1">
        <v>46199.426418136572</v>
      </c>
      <c r="D60" t="s">
        <v>78</v>
      </c>
      <c r="E60" t="s">
        <v>284</v>
      </c>
      <c r="F60">
        <v>29.391566000000001</v>
      </c>
      <c r="G60">
        <v>79.456181999999998</v>
      </c>
      <c r="H60">
        <v>1906.099975585938</v>
      </c>
      <c r="I60">
        <v>22.180000305175781</v>
      </c>
      <c r="J60" t="s">
        <v>97</v>
      </c>
      <c r="L60" t="s">
        <v>78</v>
      </c>
      <c r="M60">
        <v>10</v>
      </c>
      <c r="N60">
        <v>0</v>
      </c>
      <c r="O60">
        <v>8</v>
      </c>
      <c r="P60" t="s">
        <v>81</v>
      </c>
      <c r="Q60" t="s">
        <v>78</v>
      </c>
      <c r="R60">
        <v>1</v>
      </c>
      <c r="S60">
        <v>0</v>
      </c>
      <c r="T60" t="s">
        <v>138</v>
      </c>
      <c r="U60" t="s">
        <v>80</v>
      </c>
      <c r="W60">
        <v>150000</v>
      </c>
      <c r="X60">
        <v>150000</v>
      </c>
      <c r="Z60" t="s">
        <v>81</v>
      </c>
      <c r="AA60" t="s">
        <v>81</v>
      </c>
      <c r="AE60">
        <v>40000</v>
      </c>
      <c r="AF60" t="s">
        <v>82</v>
      </c>
      <c r="AG60" t="s">
        <v>81</v>
      </c>
      <c r="AH60" t="s">
        <v>83</v>
      </c>
      <c r="AI60">
        <v>1</v>
      </c>
      <c r="AJ60">
        <v>0</v>
      </c>
      <c r="AK60">
        <v>0</v>
      </c>
      <c r="AL60">
        <v>0</v>
      </c>
      <c r="AN60">
        <v>23420</v>
      </c>
      <c r="BP60">
        <v>792805789</v>
      </c>
      <c r="BQ60" t="s">
        <v>285</v>
      </c>
      <c r="BR60" s="1">
        <v>46199.197280092587</v>
      </c>
      <c r="BU60" t="s">
        <v>86</v>
      </c>
      <c r="BW60" t="s">
        <v>279</v>
      </c>
      <c r="BY60" t="s">
        <v>286</v>
      </c>
      <c r="BZ60">
        <v>59</v>
      </c>
    </row>
    <row r="61" spans="1:78" x14ac:dyDescent="0.2">
      <c r="A61" s="1">
        <v>46198.527682754633</v>
      </c>
      <c r="B61" s="1">
        <v>46199.4324006713</v>
      </c>
      <c r="D61" t="s">
        <v>78</v>
      </c>
      <c r="J61" t="s">
        <v>102</v>
      </c>
      <c r="L61" t="s">
        <v>81</v>
      </c>
      <c r="M61">
        <v>2</v>
      </c>
      <c r="N61">
        <v>0</v>
      </c>
      <c r="O61">
        <v>2</v>
      </c>
      <c r="P61" t="s">
        <v>81</v>
      </c>
      <c r="Q61" t="s">
        <v>78</v>
      </c>
      <c r="R61">
        <v>1</v>
      </c>
      <c r="S61">
        <v>0</v>
      </c>
      <c r="U61" t="s">
        <v>80</v>
      </c>
      <c r="W61">
        <v>8000</v>
      </c>
      <c r="X61">
        <v>8000</v>
      </c>
      <c r="Y61" t="s">
        <v>81</v>
      </c>
      <c r="AA61" t="s">
        <v>81</v>
      </c>
      <c r="AD61" t="s">
        <v>81</v>
      </c>
      <c r="AF61" t="s">
        <v>82</v>
      </c>
      <c r="AH61" t="s">
        <v>83</v>
      </c>
      <c r="AI61">
        <v>1</v>
      </c>
      <c r="AJ61">
        <v>0</v>
      </c>
      <c r="AK61">
        <v>0</v>
      </c>
      <c r="AL61">
        <v>0</v>
      </c>
      <c r="AU61" t="s">
        <v>287</v>
      </c>
      <c r="BG61" t="s">
        <v>81</v>
      </c>
      <c r="BI61" t="s">
        <v>81</v>
      </c>
      <c r="BP61">
        <v>792809665</v>
      </c>
      <c r="BQ61" t="s">
        <v>288</v>
      </c>
      <c r="BR61" s="1">
        <v>46199.203240740739</v>
      </c>
      <c r="BU61" t="s">
        <v>86</v>
      </c>
      <c r="BW61" t="s">
        <v>87</v>
      </c>
      <c r="BY61" t="s">
        <v>289</v>
      </c>
      <c r="BZ61">
        <v>60</v>
      </c>
    </row>
    <row r="62" spans="1:78" x14ac:dyDescent="0.2">
      <c r="A62" s="1">
        <v>46199.428100358797</v>
      </c>
      <c r="B62" s="1">
        <v>46199.433448344913</v>
      </c>
      <c r="D62" t="s">
        <v>78</v>
      </c>
      <c r="E62" t="s">
        <v>290</v>
      </c>
      <c r="F62">
        <v>29.384229000000001</v>
      </c>
      <c r="G62">
        <v>79.463292999999993</v>
      </c>
      <c r="H62">
        <v>1903</v>
      </c>
      <c r="I62">
        <v>56.099998474121087</v>
      </c>
      <c r="J62" t="s">
        <v>106</v>
      </c>
      <c r="L62" t="s">
        <v>78</v>
      </c>
      <c r="M62">
        <v>15</v>
      </c>
      <c r="N62">
        <v>5</v>
      </c>
      <c r="O62">
        <v>0</v>
      </c>
      <c r="P62" t="s">
        <v>81</v>
      </c>
      <c r="Q62" t="s">
        <v>78</v>
      </c>
      <c r="R62">
        <v>1</v>
      </c>
      <c r="S62">
        <v>0</v>
      </c>
      <c r="T62" t="s">
        <v>190</v>
      </c>
      <c r="U62" t="s">
        <v>80</v>
      </c>
      <c r="W62">
        <v>25000</v>
      </c>
      <c r="X62">
        <v>15000</v>
      </c>
      <c r="Z62" t="s">
        <v>81</v>
      </c>
      <c r="AA62" t="s">
        <v>78</v>
      </c>
      <c r="AB62">
        <v>200</v>
      </c>
      <c r="AC62">
        <v>250</v>
      </c>
      <c r="AD62" t="s">
        <v>81</v>
      </c>
      <c r="AE62">
        <v>0</v>
      </c>
      <c r="AF62" t="s">
        <v>92</v>
      </c>
      <c r="AG62" t="s">
        <v>291</v>
      </c>
      <c r="AH62" t="s">
        <v>83</v>
      </c>
      <c r="AI62">
        <v>1</v>
      </c>
      <c r="AJ62">
        <v>0</v>
      </c>
      <c r="AK62">
        <v>0</v>
      </c>
      <c r="AL62">
        <v>0</v>
      </c>
      <c r="AM62">
        <v>420000</v>
      </c>
      <c r="AN62">
        <v>36000</v>
      </c>
      <c r="BP62">
        <v>792810216</v>
      </c>
      <c r="BQ62" t="s">
        <v>292</v>
      </c>
      <c r="BR62" s="1">
        <v>46199.204293981478</v>
      </c>
      <c r="BU62" t="s">
        <v>86</v>
      </c>
      <c r="BW62" t="s">
        <v>279</v>
      </c>
      <c r="BY62" t="s">
        <v>293</v>
      </c>
      <c r="BZ62">
        <v>61</v>
      </c>
    </row>
    <row r="63" spans="1:78" x14ac:dyDescent="0.2">
      <c r="A63" s="1">
        <v>46199.430302210647</v>
      </c>
      <c r="B63" s="1">
        <v>46199.437002256942</v>
      </c>
      <c r="D63" t="s">
        <v>78</v>
      </c>
      <c r="E63" t="s">
        <v>294</v>
      </c>
      <c r="F63">
        <v>29.380068000000001</v>
      </c>
      <c r="G63">
        <v>79.463554999999999</v>
      </c>
      <c r="H63">
        <v>1944.146343281009</v>
      </c>
      <c r="I63">
        <v>20.142556833162921</v>
      </c>
      <c r="J63" t="s">
        <v>97</v>
      </c>
      <c r="L63" t="s">
        <v>78</v>
      </c>
      <c r="M63">
        <v>20</v>
      </c>
      <c r="N63">
        <v>4</v>
      </c>
      <c r="O63">
        <v>10</v>
      </c>
      <c r="P63" t="s">
        <v>98</v>
      </c>
      <c r="Q63" t="s">
        <v>78</v>
      </c>
      <c r="R63">
        <v>1</v>
      </c>
      <c r="S63">
        <v>0</v>
      </c>
      <c r="U63" t="s">
        <v>80</v>
      </c>
      <c r="W63">
        <v>13000</v>
      </c>
      <c r="X63">
        <v>13000</v>
      </c>
      <c r="Z63" t="s">
        <v>81</v>
      </c>
      <c r="AA63" t="s">
        <v>78</v>
      </c>
      <c r="AE63">
        <v>3000</v>
      </c>
      <c r="AF63" t="s">
        <v>82</v>
      </c>
      <c r="AH63" t="s">
        <v>83</v>
      </c>
      <c r="AI63">
        <v>1</v>
      </c>
      <c r="AJ63">
        <v>0</v>
      </c>
      <c r="AK63">
        <v>0</v>
      </c>
      <c r="AL63">
        <v>0</v>
      </c>
      <c r="AM63">
        <v>2000</v>
      </c>
      <c r="AN63">
        <v>8000</v>
      </c>
      <c r="BP63">
        <v>792812416</v>
      </c>
      <c r="BQ63" t="s">
        <v>295</v>
      </c>
      <c r="BR63" s="1">
        <v>46199.207835648151</v>
      </c>
      <c r="BU63" t="s">
        <v>86</v>
      </c>
      <c r="BW63" t="s">
        <v>279</v>
      </c>
      <c r="BY63" t="s">
        <v>296</v>
      </c>
      <c r="BZ63">
        <v>62</v>
      </c>
    </row>
    <row r="64" spans="1:78" x14ac:dyDescent="0.2">
      <c r="A64" s="1">
        <v>46199.432401064812</v>
      </c>
      <c r="B64" s="1">
        <v>46199.437094513887</v>
      </c>
      <c r="D64" t="s">
        <v>78</v>
      </c>
      <c r="J64" t="s">
        <v>102</v>
      </c>
      <c r="L64" t="s">
        <v>78</v>
      </c>
      <c r="M64">
        <v>3</v>
      </c>
      <c r="O64">
        <v>3</v>
      </c>
      <c r="P64" t="s">
        <v>81</v>
      </c>
      <c r="Q64" t="s">
        <v>81</v>
      </c>
      <c r="R64">
        <v>0</v>
      </c>
      <c r="S64">
        <v>1</v>
      </c>
      <c r="U64" t="s">
        <v>80</v>
      </c>
      <c r="W64">
        <v>2000</v>
      </c>
      <c r="Y64" t="s">
        <v>81</v>
      </c>
      <c r="AA64" t="s">
        <v>81</v>
      </c>
      <c r="AD64" t="s">
        <v>81</v>
      </c>
      <c r="AE64">
        <v>0</v>
      </c>
      <c r="AF64" t="s">
        <v>82</v>
      </c>
      <c r="AH64" t="s">
        <v>83</v>
      </c>
      <c r="AI64">
        <v>1</v>
      </c>
      <c r="AJ64">
        <v>0</v>
      </c>
      <c r="AK64">
        <v>0</v>
      </c>
      <c r="AL64">
        <v>0</v>
      </c>
      <c r="BG64" t="s">
        <v>81</v>
      </c>
      <c r="BI64" t="s">
        <v>78</v>
      </c>
      <c r="BP64">
        <v>792812452</v>
      </c>
      <c r="BQ64" t="s">
        <v>297</v>
      </c>
      <c r="BR64" s="1">
        <v>46199.207928240743</v>
      </c>
      <c r="BU64" t="s">
        <v>86</v>
      </c>
      <c r="BW64" t="s">
        <v>87</v>
      </c>
      <c r="BY64" t="s">
        <v>298</v>
      </c>
      <c r="BZ64">
        <v>63</v>
      </c>
    </row>
    <row r="65" spans="1:78" x14ac:dyDescent="0.2">
      <c r="A65" s="1">
        <v>46199.42641940972</v>
      </c>
      <c r="B65" s="1">
        <v>46199.440204120372</v>
      </c>
      <c r="D65" t="s">
        <v>78</v>
      </c>
      <c r="E65" t="s">
        <v>299</v>
      </c>
      <c r="F65">
        <v>29.39141</v>
      </c>
      <c r="G65">
        <v>79.456256999999994</v>
      </c>
      <c r="H65">
        <v>1904.800048828125</v>
      </c>
      <c r="I65">
        <v>21.563999176025391</v>
      </c>
      <c r="J65" t="s">
        <v>102</v>
      </c>
      <c r="L65" t="s">
        <v>81</v>
      </c>
      <c r="M65">
        <v>5</v>
      </c>
      <c r="N65">
        <v>0</v>
      </c>
      <c r="O65">
        <v>5</v>
      </c>
      <c r="P65" t="s">
        <v>81</v>
      </c>
      <c r="Q65" t="s">
        <v>78</v>
      </c>
      <c r="R65">
        <v>1</v>
      </c>
      <c r="S65">
        <v>0</v>
      </c>
      <c r="T65" t="s">
        <v>81</v>
      </c>
      <c r="U65" t="s">
        <v>80</v>
      </c>
      <c r="W65">
        <v>10000</v>
      </c>
      <c r="X65">
        <v>10000</v>
      </c>
      <c r="Z65" t="s">
        <v>81</v>
      </c>
      <c r="BP65">
        <v>792814595</v>
      </c>
      <c r="BQ65" t="s">
        <v>300</v>
      </c>
      <c r="BR65" s="1">
        <v>46199.211041666669</v>
      </c>
      <c r="BU65" t="s">
        <v>86</v>
      </c>
      <c r="BW65" t="s">
        <v>279</v>
      </c>
      <c r="BY65" t="s">
        <v>301</v>
      </c>
      <c r="BZ65">
        <v>64</v>
      </c>
    </row>
    <row r="66" spans="1:78" x14ac:dyDescent="0.2">
      <c r="A66" s="1">
        <v>46199.440205011582</v>
      </c>
      <c r="B66" s="1">
        <v>46199.444755381941</v>
      </c>
      <c r="D66" t="s">
        <v>78</v>
      </c>
      <c r="E66" t="s">
        <v>302</v>
      </c>
      <c r="F66">
        <v>29.391463000000002</v>
      </c>
      <c r="G66">
        <v>79.456187999999997</v>
      </c>
      <c r="H66">
        <v>1904.800048828125</v>
      </c>
      <c r="I66">
        <v>12.61299991607666</v>
      </c>
      <c r="J66" t="s">
        <v>79</v>
      </c>
      <c r="L66" t="s">
        <v>78</v>
      </c>
      <c r="M66">
        <v>4</v>
      </c>
      <c r="N66">
        <v>4</v>
      </c>
      <c r="O66">
        <v>4</v>
      </c>
      <c r="P66" t="s">
        <v>81</v>
      </c>
      <c r="Q66" t="s">
        <v>303</v>
      </c>
      <c r="R66">
        <v>1</v>
      </c>
      <c r="S66">
        <v>1</v>
      </c>
      <c r="T66" t="s">
        <v>304</v>
      </c>
      <c r="W66">
        <v>0</v>
      </c>
      <c r="X66">
        <v>0</v>
      </c>
      <c r="Z66" t="s">
        <v>81</v>
      </c>
      <c r="BP66">
        <v>792817499</v>
      </c>
      <c r="BQ66" t="s">
        <v>305</v>
      </c>
      <c r="BR66" s="1">
        <v>46199.215590277781</v>
      </c>
      <c r="BU66" t="s">
        <v>86</v>
      </c>
      <c r="BW66" t="s">
        <v>279</v>
      </c>
      <c r="BY66" t="s">
        <v>306</v>
      </c>
      <c r="BZ66">
        <v>65</v>
      </c>
    </row>
    <row r="67" spans="1:78" x14ac:dyDescent="0.2">
      <c r="A67" s="1">
        <v>46198.481379791658</v>
      </c>
      <c r="B67" s="1">
        <v>46199.446159571758</v>
      </c>
      <c r="D67" t="s">
        <v>78</v>
      </c>
      <c r="J67" t="s">
        <v>102</v>
      </c>
      <c r="L67" t="s">
        <v>78</v>
      </c>
      <c r="M67">
        <v>2</v>
      </c>
      <c r="N67">
        <v>0</v>
      </c>
      <c r="O67">
        <v>2</v>
      </c>
      <c r="P67" t="s">
        <v>81</v>
      </c>
      <c r="Q67" t="s">
        <v>81</v>
      </c>
      <c r="R67">
        <v>0</v>
      </c>
      <c r="S67">
        <v>1</v>
      </c>
      <c r="T67" t="s">
        <v>78</v>
      </c>
      <c r="W67">
        <v>4000</v>
      </c>
      <c r="X67">
        <v>3000</v>
      </c>
      <c r="Y67" t="s">
        <v>81</v>
      </c>
      <c r="AA67" t="s">
        <v>81</v>
      </c>
      <c r="AD67" t="s">
        <v>81</v>
      </c>
      <c r="AE67">
        <v>0</v>
      </c>
      <c r="AH67" t="s">
        <v>134</v>
      </c>
      <c r="AI67">
        <v>0</v>
      </c>
      <c r="AJ67">
        <v>0</v>
      </c>
      <c r="AK67">
        <v>0</v>
      </c>
      <c r="AL67">
        <v>1</v>
      </c>
      <c r="AU67" t="s">
        <v>307</v>
      </c>
      <c r="AY67" t="s">
        <v>103</v>
      </c>
      <c r="AZ67">
        <v>1</v>
      </c>
      <c r="BA67">
        <v>0</v>
      </c>
      <c r="BB67">
        <v>0</v>
      </c>
      <c r="BC67">
        <v>0</v>
      </c>
      <c r="BG67" t="s">
        <v>81</v>
      </c>
      <c r="BI67" t="s">
        <v>78</v>
      </c>
      <c r="BP67">
        <v>792818307</v>
      </c>
      <c r="BQ67" t="s">
        <v>308</v>
      </c>
      <c r="BR67" s="1">
        <v>46199.217013888891</v>
      </c>
      <c r="BU67" t="s">
        <v>86</v>
      </c>
      <c r="BW67" t="s">
        <v>87</v>
      </c>
      <c r="BY67" t="s">
        <v>309</v>
      </c>
      <c r="BZ67">
        <v>66</v>
      </c>
    </row>
    <row r="68" spans="1:78" x14ac:dyDescent="0.2">
      <c r="A68" s="1">
        <v>46199.433448923613</v>
      </c>
      <c r="B68" s="1">
        <v>46199.448415682869</v>
      </c>
      <c r="D68" t="s">
        <v>78</v>
      </c>
      <c r="E68" t="s">
        <v>310</v>
      </c>
      <c r="F68">
        <v>29.384671000000001</v>
      </c>
      <c r="G68">
        <v>79.463928999999993</v>
      </c>
      <c r="H68">
        <v>1934.400024414062</v>
      </c>
      <c r="I68">
        <v>12.63599967956543</v>
      </c>
      <c r="J68" t="s">
        <v>106</v>
      </c>
      <c r="L68" t="s">
        <v>78</v>
      </c>
      <c r="M68">
        <v>2</v>
      </c>
      <c r="N68">
        <v>0</v>
      </c>
      <c r="O68">
        <v>0</v>
      </c>
      <c r="P68" t="s">
        <v>81</v>
      </c>
      <c r="Q68" t="s">
        <v>78</v>
      </c>
      <c r="R68">
        <v>1</v>
      </c>
      <c r="S68">
        <v>0</v>
      </c>
      <c r="T68" t="s">
        <v>190</v>
      </c>
      <c r="U68" t="s">
        <v>80</v>
      </c>
      <c r="W68">
        <v>10000</v>
      </c>
      <c r="X68">
        <v>4000</v>
      </c>
      <c r="Z68" t="s">
        <v>81</v>
      </c>
      <c r="AA68" t="s">
        <v>78</v>
      </c>
      <c r="AB68">
        <v>10</v>
      </c>
      <c r="AC68">
        <v>60</v>
      </c>
      <c r="AD68" t="s">
        <v>81</v>
      </c>
      <c r="AE68">
        <v>6000</v>
      </c>
      <c r="AF68" t="s">
        <v>82</v>
      </c>
      <c r="AH68" t="s">
        <v>83</v>
      </c>
      <c r="AI68">
        <v>1</v>
      </c>
      <c r="AJ68">
        <v>0</v>
      </c>
      <c r="AK68">
        <v>0</v>
      </c>
      <c r="AL68">
        <v>0</v>
      </c>
      <c r="AM68">
        <v>120000</v>
      </c>
      <c r="AN68">
        <v>0</v>
      </c>
      <c r="BP68">
        <v>792819800</v>
      </c>
      <c r="BQ68" t="s">
        <v>311</v>
      </c>
      <c r="BR68" s="1">
        <v>46199.219270833331</v>
      </c>
      <c r="BU68" t="s">
        <v>86</v>
      </c>
      <c r="BW68" t="s">
        <v>279</v>
      </c>
      <c r="BY68" t="s">
        <v>312</v>
      </c>
      <c r="BZ68">
        <v>67</v>
      </c>
    </row>
    <row r="69" spans="1:78" x14ac:dyDescent="0.2">
      <c r="A69" s="1">
        <v>46198.48896909722</v>
      </c>
      <c r="B69" s="1">
        <v>46199.452528287038</v>
      </c>
      <c r="D69" t="s">
        <v>78</v>
      </c>
      <c r="J69" t="s">
        <v>106</v>
      </c>
      <c r="L69" t="s">
        <v>78</v>
      </c>
      <c r="M69">
        <v>16</v>
      </c>
      <c r="N69">
        <v>0</v>
      </c>
      <c r="O69">
        <v>13</v>
      </c>
      <c r="P69" t="s">
        <v>81</v>
      </c>
      <c r="Q69" t="s">
        <v>78</v>
      </c>
      <c r="R69">
        <v>1</v>
      </c>
      <c r="S69">
        <v>0</v>
      </c>
      <c r="T69" t="s">
        <v>313</v>
      </c>
      <c r="U69" t="s">
        <v>80</v>
      </c>
      <c r="W69">
        <v>85000</v>
      </c>
      <c r="X69">
        <v>45000</v>
      </c>
      <c r="Y69" t="s">
        <v>81</v>
      </c>
      <c r="AA69" t="s">
        <v>81</v>
      </c>
      <c r="AD69" t="s">
        <v>78</v>
      </c>
      <c r="AE69">
        <v>3000</v>
      </c>
      <c r="AF69" t="s">
        <v>92</v>
      </c>
      <c r="AH69" t="s">
        <v>83</v>
      </c>
      <c r="AI69">
        <v>1</v>
      </c>
      <c r="AJ69">
        <v>0</v>
      </c>
      <c r="AK69">
        <v>0</v>
      </c>
      <c r="AL69">
        <v>0</v>
      </c>
      <c r="BG69" t="s">
        <v>81</v>
      </c>
      <c r="BI69" t="s">
        <v>78</v>
      </c>
      <c r="BP69">
        <v>792822823</v>
      </c>
      <c r="BQ69" t="s">
        <v>314</v>
      </c>
      <c r="BR69" s="1">
        <v>46199.223379629628</v>
      </c>
      <c r="BU69" t="s">
        <v>86</v>
      </c>
      <c r="BW69" t="s">
        <v>87</v>
      </c>
      <c r="BY69" t="s">
        <v>315</v>
      </c>
      <c r="BZ69">
        <v>68</v>
      </c>
    </row>
    <row r="70" spans="1:78" x14ac:dyDescent="0.2">
      <c r="A70" s="1">
        <v>46199.458560057872</v>
      </c>
      <c r="B70" s="1">
        <v>46199.461717789352</v>
      </c>
      <c r="D70" t="s">
        <v>78</v>
      </c>
      <c r="E70" t="s">
        <v>316</v>
      </c>
      <c r="F70">
        <v>29.391732000000001</v>
      </c>
      <c r="G70">
        <v>79.455805999999995</v>
      </c>
      <c r="H70">
        <v>1908.900024414062</v>
      </c>
      <c r="I70">
        <v>25.631999969482418</v>
      </c>
      <c r="J70" t="s">
        <v>102</v>
      </c>
      <c r="L70" t="s">
        <v>78</v>
      </c>
      <c r="M70">
        <v>2</v>
      </c>
      <c r="N70">
        <v>0</v>
      </c>
      <c r="O70">
        <v>0</v>
      </c>
      <c r="P70" t="s">
        <v>81</v>
      </c>
      <c r="Q70" t="s">
        <v>78</v>
      </c>
      <c r="R70">
        <v>1</v>
      </c>
      <c r="S70">
        <v>0</v>
      </c>
      <c r="T70" t="s">
        <v>224</v>
      </c>
      <c r="U70" t="s">
        <v>80</v>
      </c>
      <c r="W70">
        <v>70000</v>
      </c>
      <c r="X70">
        <v>67000</v>
      </c>
      <c r="Z70" t="s">
        <v>81</v>
      </c>
      <c r="BP70">
        <v>792830040</v>
      </c>
      <c r="BQ70" t="s">
        <v>317</v>
      </c>
      <c r="BR70" s="1">
        <v>46199.232557870368</v>
      </c>
      <c r="BU70" t="s">
        <v>86</v>
      </c>
      <c r="BW70" t="s">
        <v>279</v>
      </c>
      <c r="BY70" t="s">
        <v>318</v>
      </c>
      <c r="BZ70">
        <v>69</v>
      </c>
    </row>
    <row r="71" spans="1:78" x14ac:dyDescent="0.2">
      <c r="A71" s="1">
        <v>46198.586900381953</v>
      </c>
      <c r="B71" s="1">
        <v>46199.461842870369</v>
      </c>
      <c r="D71" t="s">
        <v>78</v>
      </c>
      <c r="E71" t="s">
        <v>319</v>
      </c>
      <c r="F71">
        <v>29.389994999999999</v>
      </c>
      <c r="G71">
        <v>79.455220999999995</v>
      </c>
      <c r="H71">
        <v>1942.469364272697</v>
      </c>
      <c r="I71">
        <v>15.095014000000001</v>
      </c>
      <c r="J71" t="s">
        <v>102</v>
      </c>
      <c r="L71" t="s">
        <v>78</v>
      </c>
      <c r="M71">
        <v>1</v>
      </c>
      <c r="N71">
        <v>1</v>
      </c>
      <c r="O71">
        <v>1</v>
      </c>
      <c r="P71" t="s">
        <v>81</v>
      </c>
      <c r="Q71" t="s">
        <v>78</v>
      </c>
      <c r="R71">
        <v>1</v>
      </c>
      <c r="S71">
        <v>0</v>
      </c>
      <c r="T71" t="s">
        <v>320</v>
      </c>
      <c r="U71" t="s">
        <v>80</v>
      </c>
      <c r="W71">
        <v>1000</v>
      </c>
      <c r="X71">
        <v>1000</v>
      </c>
      <c r="Z71" t="s">
        <v>81</v>
      </c>
      <c r="BP71">
        <v>792830170</v>
      </c>
      <c r="BQ71" t="s">
        <v>321</v>
      </c>
      <c r="BR71" s="1">
        <v>46199.232685185183</v>
      </c>
      <c r="BU71" t="s">
        <v>86</v>
      </c>
      <c r="BW71" t="s">
        <v>279</v>
      </c>
      <c r="BY71" t="s">
        <v>322</v>
      </c>
      <c r="BZ71">
        <v>70</v>
      </c>
    </row>
    <row r="72" spans="1:78" x14ac:dyDescent="0.2">
      <c r="A72" s="1">
        <v>46199.402642893518</v>
      </c>
      <c r="B72" s="1">
        <v>46199.443711087973</v>
      </c>
      <c r="D72" t="s">
        <v>78</v>
      </c>
      <c r="E72" t="s">
        <v>323</v>
      </c>
      <c r="F72">
        <v>29.391285</v>
      </c>
      <c r="G72">
        <v>79.455644000000007</v>
      </c>
      <c r="H72">
        <v>1948.4754971656689</v>
      </c>
      <c r="I72">
        <v>23.889060194447239</v>
      </c>
      <c r="J72" t="s">
        <v>102</v>
      </c>
      <c r="L72" t="s">
        <v>78</v>
      </c>
      <c r="M72">
        <v>5</v>
      </c>
      <c r="N72">
        <v>0</v>
      </c>
      <c r="O72">
        <v>5</v>
      </c>
      <c r="P72" t="s">
        <v>98</v>
      </c>
      <c r="Q72" t="s">
        <v>81</v>
      </c>
      <c r="R72">
        <v>0</v>
      </c>
      <c r="S72">
        <v>1</v>
      </c>
      <c r="T72" t="s">
        <v>324</v>
      </c>
      <c r="W72">
        <v>0</v>
      </c>
      <c r="X72">
        <v>0</v>
      </c>
      <c r="Z72" t="s">
        <v>81</v>
      </c>
      <c r="AF72" t="s">
        <v>82</v>
      </c>
      <c r="BP72">
        <v>792830631</v>
      </c>
      <c r="BQ72" t="s">
        <v>325</v>
      </c>
      <c r="BR72" s="1">
        <v>46199.233171296299</v>
      </c>
      <c r="BU72" t="s">
        <v>86</v>
      </c>
      <c r="BW72" t="s">
        <v>279</v>
      </c>
      <c r="BY72" t="s">
        <v>326</v>
      </c>
      <c r="BZ72">
        <v>71</v>
      </c>
    </row>
    <row r="73" spans="1:78" x14ac:dyDescent="0.2">
      <c r="A73" s="1">
        <v>46199.461843159719</v>
      </c>
      <c r="B73" s="1">
        <v>46199.463413368052</v>
      </c>
      <c r="D73" t="s">
        <v>78</v>
      </c>
      <c r="E73" t="s">
        <v>327</v>
      </c>
      <c r="F73">
        <v>29.390090000000001</v>
      </c>
      <c r="G73">
        <v>79.455872999999997</v>
      </c>
      <c r="H73">
        <v>1944.3754980245781</v>
      </c>
      <c r="I73">
        <v>64.035570358423811</v>
      </c>
      <c r="J73" t="s">
        <v>89</v>
      </c>
      <c r="K73" t="s">
        <v>328</v>
      </c>
      <c r="L73" t="s">
        <v>78</v>
      </c>
      <c r="M73">
        <v>1</v>
      </c>
      <c r="N73">
        <v>1</v>
      </c>
      <c r="O73">
        <v>1</v>
      </c>
      <c r="P73" t="s">
        <v>81</v>
      </c>
      <c r="Q73" t="s">
        <v>81</v>
      </c>
      <c r="R73">
        <v>0</v>
      </c>
      <c r="S73">
        <v>1</v>
      </c>
      <c r="T73" t="s">
        <v>329</v>
      </c>
      <c r="U73" t="s">
        <v>80</v>
      </c>
      <c r="W73">
        <v>3500</v>
      </c>
      <c r="X73">
        <v>3200</v>
      </c>
      <c r="Z73" t="s">
        <v>81</v>
      </c>
      <c r="BP73">
        <v>792831485</v>
      </c>
      <c r="BQ73" t="s">
        <v>330</v>
      </c>
      <c r="BR73" s="1">
        <v>46199.234259259261</v>
      </c>
      <c r="BU73" t="s">
        <v>86</v>
      </c>
      <c r="BW73" t="s">
        <v>279</v>
      </c>
      <c r="BY73" t="s">
        <v>331</v>
      </c>
      <c r="BZ73">
        <v>72</v>
      </c>
    </row>
    <row r="74" spans="1:78" x14ac:dyDescent="0.2">
      <c r="A74" s="1">
        <v>46199.443711388893</v>
      </c>
      <c r="B74" s="1">
        <v>46199.463441412037</v>
      </c>
      <c r="D74" t="s">
        <v>78</v>
      </c>
      <c r="E74" t="s">
        <v>332</v>
      </c>
      <c r="F74">
        <v>29.390384000000001</v>
      </c>
      <c r="G74">
        <v>79.455691000000002</v>
      </c>
      <c r="H74">
        <v>1944.7161490029871</v>
      </c>
      <c r="I74">
        <v>48.670615120582738</v>
      </c>
      <c r="J74" t="s">
        <v>89</v>
      </c>
      <c r="K74" t="s">
        <v>333</v>
      </c>
      <c r="L74" t="s">
        <v>78</v>
      </c>
      <c r="M74">
        <v>1</v>
      </c>
      <c r="N74">
        <v>0</v>
      </c>
      <c r="O74">
        <v>1</v>
      </c>
      <c r="P74" t="s">
        <v>81</v>
      </c>
      <c r="Q74" t="s">
        <v>81</v>
      </c>
      <c r="R74">
        <v>0</v>
      </c>
      <c r="S74">
        <v>1</v>
      </c>
      <c r="T74" t="s">
        <v>334</v>
      </c>
      <c r="W74">
        <v>3500</v>
      </c>
      <c r="X74">
        <v>3000</v>
      </c>
      <c r="Z74" t="s">
        <v>81</v>
      </c>
      <c r="AF74" t="s">
        <v>82</v>
      </c>
      <c r="BP74">
        <v>792831511</v>
      </c>
      <c r="BQ74" t="s">
        <v>335</v>
      </c>
      <c r="BR74" s="1">
        <v>46199.234282407408</v>
      </c>
      <c r="BU74" t="s">
        <v>86</v>
      </c>
      <c r="BW74" t="s">
        <v>279</v>
      </c>
      <c r="BY74" t="s">
        <v>336</v>
      </c>
      <c r="BZ74">
        <v>73</v>
      </c>
    </row>
    <row r="75" spans="1:78" x14ac:dyDescent="0.2">
      <c r="A75" s="1">
        <v>46199.461719016203</v>
      </c>
      <c r="B75" s="1">
        <v>46199.464402777783</v>
      </c>
      <c r="D75" t="s">
        <v>78</v>
      </c>
      <c r="E75" t="s">
        <v>337</v>
      </c>
      <c r="F75">
        <v>29.391845</v>
      </c>
      <c r="G75">
        <v>79.455708999999999</v>
      </c>
      <c r="H75">
        <v>1909.5</v>
      </c>
      <c r="I75">
        <v>17.53800010681152</v>
      </c>
      <c r="J75" t="s">
        <v>102</v>
      </c>
      <c r="L75" t="s">
        <v>78</v>
      </c>
      <c r="M75">
        <v>3</v>
      </c>
      <c r="N75">
        <v>2</v>
      </c>
      <c r="O75">
        <v>3</v>
      </c>
      <c r="P75" t="s">
        <v>98</v>
      </c>
      <c r="Q75" t="s">
        <v>78</v>
      </c>
      <c r="R75">
        <v>1</v>
      </c>
      <c r="S75">
        <v>0</v>
      </c>
      <c r="T75" t="s">
        <v>224</v>
      </c>
      <c r="U75" t="s">
        <v>80</v>
      </c>
      <c r="W75">
        <v>14500</v>
      </c>
      <c r="X75">
        <v>14500</v>
      </c>
      <c r="Z75" t="s">
        <v>81</v>
      </c>
      <c r="BP75">
        <v>792832349</v>
      </c>
      <c r="BQ75" t="s">
        <v>338</v>
      </c>
      <c r="BR75" s="1">
        <v>46199.235243055547</v>
      </c>
      <c r="BU75" t="s">
        <v>86</v>
      </c>
      <c r="BW75" t="s">
        <v>279</v>
      </c>
      <c r="BY75" t="s">
        <v>339</v>
      </c>
      <c r="BZ75">
        <v>74</v>
      </c>
    </row>
    <row r="76" spans="1:78" x14ac:dyDescent="0.2">
      <c r="A76" s="1">
        <v>46199.452529108799</v>
      </c>
      <c r="B76" s="1">
        <v>46199.471942199067</v>
      </c>
      <c r="D76" t="s">
        <v>78</v>
      </c>
      <c r="E76" t="s">
        <v>340</v>
      </c>
      <c r="F76">
        <v>29.387153999999999</v>
      </c>
      <c r="G76">
        <v>79.461940999999996</v>
      </c>
      <c r="H76">
        <v>1911.300048828125</v>
      </c>
      <c r="I76">
        <v>12.61400032043457</v>
      </c>
      <c r="J76" t="s">
        <v>106</v>
      </c>
      <c r="L76" t="s">
        <v>78</v>
      </c>
      <c r="M76">
        <v>6</v>
      </c>
      <c r="N76">
        <v>3</v>
      </c>
      <c r="O76">
        <v>0</v>
      </c>
      <c r="P76" t="s">
        <v>81</v>
      </c>
      <c r="Q76" t="s">
        <v>78</v>
      </c>
      <c r="R76">
        <v>1</v>
      </c>
      <c r="S76">
        <v>0</v>
      </c>
      <c r="T76" t="s">
        <v>341</v>
      </c>
      <c r="U76" t="s">
        <v>80</v>
      </c>
      <c r="W76">
        <v>50000</v>
      </c>
      <c r="X76">
        <v>30000</v>
      </c>
      <c r="Z76" t="s">
        <v>81</v>
      </c>
      <c r="AA76" t="s">
        <v>81</v>
      </c>
      <c r="AB76">
        <v>30</v>
      </c>
      <c r="AC76">
        <v>40</v>
      </c>
      <c r="AD76" t="s">
        <v>81</v>
      </c>
      <c r="AE76">
        <v>15000</v>
      </c>
      <c r="AF76" t="s">
        <v>82</v>
      </c>
      <c r="AG76" t="s">
        <v>342</v>
      </c>
      <c r="AH76" t="s">
        <v>83</v>
      </c>
      <c r="AI76">
        <v>1</v>
      </c>
      <c r="AJ76">
        <v>0</v>
      </c>
      <c r="AK76">
        <v>0</v>
      </c>
      <c r="AL76">
        <v>0</v>
      </c>
      <c r="AM76">
        <v>24000</v>
      </c>
      <c r="AN76">
        <v>180000</v>
      </c>
      <c r="BP76">
        <v>792837990</v>
      </c>
      <c r="BQ76" t="s">
        <v>343</v>
      </c>
      <c r="BR76" s="1">
        <v>46199.242789351847</v>
      </c>
      <c r="BU76" t="s">
        <v>86</v>
      </c>
      <c r="BW76" t="s">
        <v>279</v>
      </c>
      <c r="BY76" t="s">
        <v>344</v>
      </c>
      <c r="BZ76">
        <v>75</v>
      </c>
    </row>
    <row r="77" spans="1:78" x14ac:dyDescent="0.2">
      <c r="A77" s="1">
        <v>46198.494238703701</v>
      </c>
      <c r="B77" s="1">
        <v>46199.487626319453</v>
      </c>
      <c r="D77" t="s">
        <v>78</v>
      </c>
      <c r="J77" t="s">
        <v>97</v>
      </c>
      <c r="L77" t="s">
        <v>78</v>
      </c>
      <c r="M77">
        <v>2</v>
      </c>
      <c r="N77">
        <v>1</v>
      </c>
      <c r="O77">
        <v>2</v>
      </c>
      <c r="P77" t="s">
        <v>81</v>
      </c>
      <c r="Q77" t="s">
        <v>78</v>
      </c>
      <c r="R77">
        <v>1</v>
      </c>
      <c r="S77">
        <v>0</v>
      </c>
      <c r="T77" t="s">
        <v>345</v>
      </c>
      <c r="U77" t="s">
        <v>80</v>
      </c>
      <c r="W77">
        <v>2500</v>
      </c>
      <c r="X77">
        <v>3000</v>
      </c>
      <c r="Z77" t="s">
        <v>81</v>
      </c>
      <c r="AA77" t="s">
        <v>81</v>
      </c>
      <c r="AE77">
        <v>100</v>
      </c>
      <c r="AF77" t="s">
        <v>82</v>
      </c>
      <c r="AH77" t="s">
        <v>83</v>
      </c>
      <c r="AI77">
        <v>1</v>
      </c>
      <c r="AJ77">
        <v>0</v>
      </c>
      <c r="AK77">
        <v>0</v>
      </c>
      <c r="AL77">
        <v>0</v>
      </c>
      <c r="AM77">
        <v>100000</v>
      </c>
      <c r="AN77">
        <v>200000</v>
      </c>
      <c r="BP77">
        <v>792853092</v>
      </c>
      <c r="BQ77" t="s">
        <v>346</v>
      </c>
      <c r="BR77" s="1">
        <v>46199.258483796293</v>
      </c>
      <c r="BU77" t="s">
        <v>86</v>
      </c>
      <c r="BW77" t="s">
        <v>279</v>
      </c>
      <c r="BY77" t="s">
        <v>347</v>
      </c>
      <c r="BZ77">
        <v>76</v>
      </c>
    </row>
    <row r="78" spans="1:78" x14ac:dyDescent="0.2">
      <c r="A78" s="1">
        <v>46199.463441759261</v>
      </c>
      <c r="B78" s="1">
        <v>46199.490080046293</v>
      </c>
      <c r="D78" t="s">
        <v>78</v>
      </c>
      <c r="E78" t="s">
        <v>348</v>
      </c>
      <c r="F78">
        <v>29.390523000000002</v>
      </c>
      <c r="G78">
        <v>79.455393000000001</v>
      </c>
      <c r="H78">
        <v>1945.4342504213321</v>
      </c>
      <c r="I78">
        <v>43.709220061484572</v>
      </c>
      <c r="J78" t="s">
        <v>102</v>
      </c>
      <c r="L78" t="s">
        <v>78</v>
      </c>
      <c r="M78">
        <v>4</v>
      </c>
      <c r="N78">
        <v>0</v>
      </c>
      <c r="O78">
        <v>4</v>
      </c>
      <c r="P78" t="s">
        <v>81</v>
      </c>
      <c r="Q78" t="s">
        <v>78</v>
      </c>
      <c r="R78">
        <v>1</v>
      </c>
      <c r="S78">
        <v>0</v>
      </c>
      <c r="T78" t="s">
        <v>349</v>
      </c>
      <c r="U78" t="s">
        <v>80</v>
      </c>
      <c r="W78">
        <v>4000</v>
      </c>
      <c r="X78">
        <v>3000</v>
      </c>
      <c r="Z78" t="s">
        <v>81</v>
      </c>
      <c r="AF78" t="s">
        <v>92</v>
      </c>
      <c r="BP78">
        <v>792855463</v>
      </c>
      <c r="BQ78" t="s">
        <v>350</v>
      </c>
      <c r="BR78" s="1">
        <v>46199.260937500003</v>
      </c>
      <c r="BU78" t="s">
        <v>86</v>
      </c>
      <c r="BW78" t="s">
        <v>279</v>
      </c>
      <c r="BY78" t="s">
        <v>351</v>
      </c>
      <c r="BZ78">
        <v>77</v>
      </c>
    </row>
    <row r="79" spans="1:78" x14ac:dyDescent="0.2">
      <c r="A79" s="1">
        <v>46199.463413680547</v>
      </c>
      <c r="B79" s="1">
        <v>46199.491261689807</v>
      </c>
      <c r="D79" t="s">
        <v>78</v>
      </c>
      <c r="J79" t="s">
        <v>102</v>
      </c>
      <c r="L79" t="s">
        <v>81</v>
      </c>
      <c r="M79">
        <v>4</v>
      </c>
      <c r="N79">
        <v>0</v>
      </c>
      <c r="O79">
        <v>3</v>
      </c>
      <c r="P79" t="s">
        <v>81</v>
      </c>
      <c r="Q79" t="s">
        <v>81</v>
      </c>
      <c r="R79">
        <v>0</v>
      </c>
      <c r="S79">
        <v>1</v>
      </c>
      <c r="T79" t="s">
        <v>352</v>
      </c>
      <c r="U79" t="s">
        <v>80</v>
      </c>
      <c r="W79">
        <v>4000</v>
      </c>
      <c r="X79">
        <v>3000</v>
      </c>
      <c r="Z79" t="s">
        <v>81</v>
      </c>
      <c r="BP79">
        <v>792856586</v>
      </c>
      <c r="BQ79" t="s">
        <v>353</v>
      </c>
      <c r="BR79" s="1">
        <v>46199.262106481481</v>
      </c>
      <c r="BU79" t="s">
        <v>86</v>
      </c>
      <c r="BW79" t="s">
        <v>279</v>
      </c>
      <c r="BY79" t="s">
        <v>354</v>
      </c>
      <c r="BZ79">
        <v>78</v>
      </c>
    </row>
    <row r="80" spans="1:78" x14ac:dyDescent="0.2">
      <c r="A80" s="1">
        <v>46199.478584641212</v>
      </c>
      <c r="B80" s="1">
        <v>46199.496380324083</v>
      </c>
      <c r="D80" t="s">
        <v>78</v>
      </c>
      <c r="E80" t="s">
        <v>355</v>
      </c>
      <c r="F80">
        <v>29.390751000000002</v>
      </c>
      <c r="G80">
        <v>79.457665000000006</v>
      </c>
      <c r="H80">
        <v>1905.599975585938</v>
      </c>
      <c r="I80">
        <v>11.45600032806396</v>
      </c>
      <c r="J80" t="s">
        <v>102</v>
      </c>
      <c r="L80" t="s">
        <v>78</v>
      </c>
      <c r="M80">
        <v>11</v>
      </c>
      <c r="N80">
        <v>0</v>
      </c>
      <c r="O80">
        <v>11</v>
      </c>
      <c r="P80" t="s">
        <v>98</v>
      </c>
      <c r="Q80" t="s">
        <v>78</v>
      </c>
      <c r="R80">
        <v>1</v>
      </c>
      <c r="S80">
        <v>0</v>
      </c>
      <c r="T80" t="s">
        <v>356</v>
      </c>
      <c r="U80" t="s">
        <v>80</v>
      </c>
      <c r="W80">
        <v>15000</v>
      </c>
      <c r="X80">
        <v>15000</v>
      </c>
      <c r="Z80" t="s">
        <v>81</v>
      </c>
      <c r="BP80">
        <v>792862858</v>
      </c>
      <c r="BQ80" t="s">
        <v>357</v>
      </c>
      <c r="BR80" s="1">
        <v>46199.267222222217</v>
      </c>
      <c r="BU80" t="s">
        <v>86</v>
      </c>
      <c r="BW80" t="s">
        <v>279</v>
      </c>
      <c r="BY80" t="s">
        <v>358</v>
      </c>
      <c r="BZ80">
        <v>79</v>
      </c>
    </row>
    <row r="81" spans="1:78" x14ac:dyDescent="0.2">
      <c r="A81" s="1">
        <v>46199.496380659722</v>
      </c>
      <c r="B81" s="1">
        <v>46199.500776319437</v>
      </c>
      <c r="D81" t="s">
        <v>78</v>
      </c>
      <c r="E81" t="s">
        <v>359</v>
      </c>
      <c r="F81">
        <v>29.39085</v>
      </c>
      <c r="G81">
        <v>79.457429000000005</v>
      </c>
      <c r="H81">
        <v>1906.300048828125</v>
      </c>
      <c r="I81">
        <v>16.23900032043457</v>
      </c>
      <c r="J81" t="s">
        <v>102</v>
      </c>
      <c r="L81" t="s">
        <v>78</v>
      </c>
      <c r="M81">
        <v>9</v>
      </c>
      <c r="N81">
        <v>4</v>
      </c>
      <c r="O81">
        <v>9</v>
      </c>
      <c r="P81" t="s">
        <v>98</v>
      </c>
      <c r="Q81" t="s">
        <v>78</v>
      </c>
      <c r="R81">
        <v>1</v>
      </c>
      <c r="S81">
        <v>0</v>
      </c>
      <c r="T81" t="s">
        <v>360</v>
      </c>
      <c r="U81" t="s">
        <v>80</v>
      </c>
      <c r="W81">
        <v>50000</v>
      </c>
      <c r="X81">
        <v>13500</v>
      </c>
      <c r="Z81" t="s">
        <v>81</v>
      </c>
      <c r="BP81">
        <v>792867929</v>
      </c>
      <c r="BQ81" t="s">
        <v>361</v>
      </c>
      <c r="BR81" s="1">
        <v>46199.271620370368</v>
      </c>
      <c r="BU81" t="s">
        <v>86</v>
      </c>
      <c r="BW81" t="s">
        <v>279</v>
      </c>
      <c r="BY81" t="s">
        <v>362</v>
      </c>
      <c r="BZ81">
        <v>80</v>
      </c>
    </row>
    <row r="82" spans="1:78" x14ac:dyDescent="0.2">
      <c r="A82" s="1">
        <v>46199.50190072917</v>
      </c>
      <c r="B82" s="1">
        <v>46199.503054884262</v>
      </c>
      <c r="D82" t="s">
        <v>78</v>
      </c>
      <c r="J82" t="s">
        <v>102</v>
      </c>
      <c r="L82" t="s">
        <v>81</v>
      </c>
      <c r="M82">
        <v>1</v>
      </c>
      <c r="O82">
        <v>0</v>
      </c>
      <c r="P82" t="s">
        <v>98</v>
      </c>
      <c r="Q82" t="s">
        <v>78</v>
      </c>
      <c r="R82">
        <v>1</v>
      </c>
      <c r="S82">
        <v>0</v>
      </c>
      <c r="T82" t="s">
        <v>363</v>
      </c>
      <c r="U82" t="s">
        <v>80</v>
      </c>
      <c r="W82">
        <v>2000</v>
      </c>
      <c r="X82">
        <v>3000</v>
      </c>
      <c r="Z82" t="s">
        <v>81</v>
      </c>
      <c r="BP82">
        <v>792870732</v>
      </c>
      <c r="BQ82" t="s">
        <v>364</v>
      </c>
      <c r="BR82" s="1">
        <v>46199.273888888893</v>
      </c>
      <c r="BU82" t="s">
        <v>86</v>
      </c>
      <c r="BW82" t="s">
        <v>279</v>
      </c>
      <c r="BY82" t="s">
        <v>365</v>
      </c>
      <c r="BZ82">
        <v>81</v>
      </c>
    </row>
    <row r="83" spans="1:78" x14ac:dyDescent="0.2">
      <c r="A83" s="1">
        <v>46199.505605740742</v>
      </c>
      <c r="B83" s="1">
        <v>46199.507770960648</v>
      </c>
      <c r="D83" t="s">
        <v>78</v>
      </c>
      <c r="E83" t="s">
        <v>366</v>
      </c>
      <c r="F83">
        <v>29.391772</v>
      </c>
      <c r="G83">
        <v>79.455549000000005</v>
      </c>
      <c r="H83">
        <v>1909.300048828125</v>
      </c>
      <c r="I83">
        <v>15.10700035095215</v>
      </c>
      <c r="J83" t="s">
        <v>102</v>
      </c>
      <c r="L83" t="s">
        <v>78</v>
      </c>
      <c r="M83">
        <v>3</v>
      </c>
      <c r="N83">
        <v>0</v>
      </c>
      <c r="O83">
        <v>3</v>
      </c>
      <c r="P83" t="s">
        <v>81</v>
      </c>
      <c r="Q83" t="s">
        <v>78</v>
      </c>
      <c r="R83">
        <v>1</v>
      </c>
      <c r="S83">
        <v>0</v>
      </c>
      <c r="T83" t="s">
        <v>224</v>
      </c>
      <c r="U83" t="s">
        <v>80</v>
      </c>
      <c r="W83">
        <v>3500</v>
      </c>
      <c r="X83">
        <v>3500</v>
      </c>
      <c r="Z83" t="s">
        <v>81</v>
      </c>
      <c r="BP83">
        <v>792876567</v>
      </c>
      <c r="BQ83" t="s">
        <v>367</v>
      </c>
      <c r="BR83" s="1">
        <v>46199.278611111113</v>
      </c>
      <c r="BU83" t="s">
        <v>86</v>
      </c>
      <c r="BW83" t="s">
        <v>279</v>
      </c>
      <c r="BY83" t="s">
        <v>368</v>
      </c>
      <c r="BZ83">
        <v>82</v>
      </c>
    </row>
    <row r="84" spans="1:78" x14ac:dyDescent="0.2">
      <c r="A84" s="1">
        <v>46199.508468796303</v>
      </c>
      <c r="B84" s="1">
        <v>46199.509531550917</v>
      </c>
      <c r="D84" t="s">
        <v>78</v>
      </c>
      <c r="E84" t="s">
        <v>369</v>
      </c>
      <c r="F84">
        <v>29.385778999999999</v>
      </c>
      <c r="G84">
        <v>79.462367999999998</v>
      </c>
      <c r="H84">
        <v>1946.209807322944</v>
      </c>
      <c r="I84">
        <v>20.90632651989042</v>
      </c>
      <c r="J84" t="s">
        <v>102</v>
      </c>
      <c r="L84" t="s">
        <v>78</v>
      </c>
      <c r="M84">
        <v>0</v>
      </c>
      <c r="N84">
        <v>0</v>
      </c>
      <c r="P84" t="s">
        <v>81</v>
      </c>
      <c r="Q84" t="s">
        <v>78</v>
      </c>
      <c r="R84">
        <v>1</v>
      </c>
      <c r="S84">
        <v>0</v>
      </c>
      <c r="T84" t="s">
        <v>199</v>
      </c>
      <c r="W84">
        <v>1500</v>
      </c>
      <c r="X84">
        <v>1200</v>
      </c>
      <c r="Z84" t="s">
        <v>81</v>
      </c>
      <c r="AF84" t="s">
        <v>82</v>
      </c>
      <c r="BP84">
        <v>792878826</v>
      </c>
      <c r="BQ84" t="s">
        <v>370</v>
      </c>
      <c r="BR84" s="1">
        <v>46199.280370370368</v>
      </c>
      <c r="BU84" t="s">
        <v>86</v>
      </c>
      <c r="BW84" t="s">
        <v>279</v>
      </c>
      <c r="BY84" t="s">
        <v>371</v>
      </c>
      <c r="BZ84">
        <v>83</v>
      </c>
    </row>
    <row r="85" spans="1:78" x14ac:dyDescent="0.2">
      <c r="A85" s="1">
        <v>46199.504215972222</v>
      </c>
      <c r="B85" s="1">
        <v>46199.509687268517</v>
      </c>
      <c r="D85" t="s">
        <v>78</v>
      </c>
      <c r="E85" t="s">
        <v>372</v>
      </c>
      <c r="F85">
        <v>29.390962999999999</v>
      </c>
      <c r="G85">
        <v>79.457199000000003</v>
      </c>
      <c r="H85">
        <v>1905.900024414062</v>
      </c>
      <c r="I85">
        <v>35.615001678466797</v>
      </c>
      <c r="J85" t="s">
        <v>102</v>
      </c>
      <c r="L85" t="s">
        <v>78</v>
      </c>
      <c r="M85">
        <v>5</v>
      </c>
      <c r="N85">
        <v>5</v>
      </c>
      <c r="O85">
        <v>5</v>
      </c>
      <c r="P85" t="s">
        <v>81</v>
      </c>
      <c r="Q85" t="s">
        <v>78</v>
      </c>
      <c r="R85">
        <v>1</v>
      </c>
      <c r="S85">
        <v>0</v>
      </c>
      <c r="T85" t="s">
        <v>324</v>
      </c>
      <c r="U85" t="s">
        <v>80</v>
      </c>
      <c r="W85">
        <v>3500</v>
      </c>
      <c r="X85">
        <v>3000</v>
      </c>
      <c r="Z85" t="s">
        <v>81</v>
      </c>
      <c r="BP85">
        <v>792879076</v>
      </c>
      <c r="BQ85" t="s">
        <v>373</v>
      </c>
      <c r="BR85" s="1">
        <v>46199.280555555553</v>
      </c>
      <c r="BU85" t="s">
        <v>86</v>
      </c>
      <c r="BW85" t="s">
        <v>279</v>
      </c>
      <c r="BY85" t="s">
        <v>374</v>
      </c>
      <c r="BZ85">
        <v>84</v>
      </c>
    </row>
    <row r="86" spans="1:78" x14ac:dyDescent="0.2">
      <c r="A86" s="1">
        <v>46199.490080324067</v>
      </c>
      <c r="B86" s="1">
        <v>46199.512234490743</v>
      </c>
      <c r="E86" t="s">
        <v>375</v>
      </c>
      <c r="F86">
        <v>29.390412999999999</v>
      </c>
      <c r="G86">
        <v>79.455451999999994</v>
      </c>
      <c r="H86">
        <v>1945.0847615723401</v>
      </c>
      <c r="I86">
        <v>44.202048242422997</v>
      </c>
      <c r="J86" t="s">
        <v>89</v>
      </c>
      <c r="K86" t="s">
        <v>376</v>
      </c>
      <c r="L86" t="s">
        <v>81</v>
      </c>
      <c r="M86">
        <v>2</v>
      </c>
      <c r="N86">
        <v>2</v>
      </c>
      <c r="O86">
        <v>4</v>
      </c>
      <c r="P86" t="s">
        <v>81</v>
      </c>
      <c r="Q86" t="s">
        <v>81</v>
      </c>
      <c r="R86">
        <v>0</v>
      </c>
      <c r="S86">
        <v>1</v>
      </c>
      <c r="T86" t="s">
        <v>324</v>
      </c>
      <c r="W86">
        <v>10000</v>
      </c>
      <c r="X86">
        <v>5000</v>
      </c>
      <c r="Z86" t="s">
        <v>81</v>
      </c>
      <c r="AF86" t="s">
        <v>82</v>
      </c>
      <c r="BP86">
        <v>792882266</v>
      </c>
      <c r="BQ86" t="s">
        <v>377</v>
      </c>
      <c r="BR86" s="1">
        <v>46199.283067129632</v>
      </c>
      <c r="BU86" t="s">
        <v>86</v>
      </c>
      <c r="BW86" t="s">
        <v>279</v>
      </c>
      <c r="BY86" t="s">
        <v>378</v>
      </c>
      <c r="BZ86">
        <v>85</v>
      </c>
    </row>
    <row r="87" spans="1:78" x14ac:dyDescent="0.2">
      <c r="A87" s="1">
        <v>46199.491262071759</v>
      </c>
      <c r="B87" s="1">
        <v>46199.512337662039</v>
      </c>
      <c r="D87" t="s">
        <v>78</v>
      </c>
      <c r="J87" t="s">
        <v>89</v>
      </c>
      <c r="K87" t="s">
        <v>379</v>
      </c>
      <c r="L87" t="s">
        <v>81</v>
      </c>
      <c r="M87">
        <v>2</v>
      </c>
      <c r="N87">
        <v>2</v>
      </c>
      <c r="O87">
        <v>2</v>
      </c>
      <c r="P87" t="s">
        <v>81</v>
      </c>
      <c r="Q87" t="s">
        <v>78</v>
      </c>
      <c r="R87">
        <v>1</v>
      </c>
      <c r="S87">
        <v>0</v>
      </c>
      <c r="T87" t="s">
        <v>380</v>
      </c>
      <c r="U87" t="s">
        <v>80</v>
      </c>
      <c r="W87">
        <v>8500</v>
      </c>
      <c r="X87">
        <v>4000</v>
      </c>
      <c r="Z87" t="s">
        <v>81</v>
      </c>
      <c r="BP87">
        <v>792882356</v>
      </c>
      <c r="BQ87" t="s">
        <v>381</v>
      </c>
      <c r="BR87" s="1">
        <v>46199.283171296287</v>
      </c>
      <c r="BU87" t="s">
        <v>86</v>
      </c>
      <c r="BW87" t="s">
        <v>279</v>
      </c>
      <c r="BY87" t="s">
        <v>382</v>
      </c>
      <c r="BZ87">
        <v>86</v>
      </c>
    </row>
    <row r="88" spans="1:78" x14ac:dyDescent="0.2">
      <c r="A88" s="1">
        <v>46199.509688483799</v>
      </c>
      <c r="B88" s="1">
        <v>46199.517031701391</v>
      </c>
      <c r="D88" t="s">
        <v>78</v>
      </c>
      <c r="E88" t="s">
        <v>383</v>
      </c>
      <c r="F88">
        <v>29.390947000000001</v>
      </c>
      <c r="G88">
        <v>79.457144999999997</v>
      </c>
      <c r="H88">
        <v>1905.900024414062</v>
      </c>
      <c r="I88">
        <v>20.125</v>
      </c>
      <c r="J88" t="s">
        <v>97</v>
      </c>
      <c r="L88" t="s">
        <v>78</v>
      </c>
      <c r="M88">
        <v>12</v>
      </c>
      <c r="N88">
        <v>12</v>
      </c>
      <c r="O88">
        <v>6</v>
      </c>
      <c r="P88" t="s">
        <v>81</v>
      </c>
      <c r="Q88" t="s">
        <v>78</v>
      </c>
      <c r="R88">
        <v>1</v>
      </c>
      <c r="S88">
        <v>0</v>
      </c>
      <c r="T88" t="s">
        <v>190</v>
      </c>
      <c r="U88" t="s">
        <v>80</v>
      </c>
      <c r="W88">
        <v>22000</v>
      </c>
      <c r="X88">
        <v>18000</v>
      </c>
      <c r="Z88" t="s">
        <v>81</v>
      </c>
      <c r="AA88" t="s">
        <v>78</v>
      </c>
      <c r="AE88">
        <v>20000</v>
      </c>
      <c r="AF88" t="s">
        <v>92</v>
      </c>
      <c r="AG88" t="s">
        <v>384</v>
      </c>
      <c r="AH88" t="s">
        <v>83</v>
      </c>
      <c r="AI88">
        <v>1</v>
      </c>
      <c r="AJ88">
        <v>0</v>
      </c>
      <c r="AK88">
        <v>0</v>
      </c>
      <c r="AL88">
        <v>0</v>
      </c>
      <c r="AM88">
        <v>5000</v>
      </c>
      <c r="AN88">
        <v>17000</v>
      </c>
      <c r="BP88">
        <v>792888481</v>
      </c>
      <c r="BQ88" t="s">
        <v>385</v>
      </c>
      <c r="BR88" s="1">
        <v>46199.287881944438</v>
      </c>
      <c r="BU88" t="s">
        <v>86</v>
      </c>
      <c r="BW88" t="s">
        <v>279</v>
      </c>
      <c r="BY88" t="s">
        <v>386</v>
      </c>
      <c r="BZ88">
        <v>87</v>
      </c>
    </row>
    <row r="89" spans="1:78" x14ac:dyDescent="0.2">
      <c r="A89" s="1">
        <v>46199.516565520833</v>
      </c>
      <c r="B89" s="1">
        <v>46199.517552511577</v>
      </c>
      <c r="D89" t="s">
        <v>78</v>
      </c>
      <c r="E89" t="s">
        <v>387</v>
      </c>
      <c r="F89">
        <v>29.391770000000001</v>
      </c>
      <c r="G89">
        <v>79.455450999999996</v>
      </c>
      <c r="H89">
        <v>1909.5</v>
      </c>
      <c r="I89">
        <v>20</v>
      </c>
      <c r="J89" t="s">
        <v>102</v>
      </c>
      <c r="L89" t="s">
        <v>78</v>
      </c>
      <c r="M89">
        <v>4</v>
      </c>
      <c r="N89">
        <v>0</v>
      </c>
      <c r="O89">
        <v>3</v>
      </c>
      <c r="P89" t="s">
        <v>98</v>
      </c>
      <c r="Q89" t="s">
        <v>78</v>
      </c>
      <c r="R89">
        <v>1</v>
      </c>
      <c r="S89">
        <v>0</v>
      </c>
      <c r="T89" t="s">
        <v>224</v>
      </c>
      <c r="U89" t="s">
        <v>80</v>
      </c>
      <c r="W89">
        <v>5500</v>
      </c>
      <c r="X89">
        <v>5000</v>
      </c>
      <c r="Z89" t="s">
        <v>81</v>
      </c>
      <c r="BP89">
        <v>792889094</v>
      </c>
      <c r="BQ89" t="s">
        <v>388</v>
      </c>
      <c r="BR89" s="1">
        <v>46199.288425925923</v>
      </c>
      <c r="BU89" t="s">
        <v>86</v>
      </c>
      <c r="BW89" t="s">
        <v>279</v>
      </c>
      <c r="BY89" t="s">
        <v>389</v>
      </c>
      <c r="BZ89">
        <v>88</v>
      </c>
    </row>
    <row r="90" spans="1:78" x14ac:dyDescent="0.2">
      <c r="A90" s="1">
        <v>46199.54426599537</v>
      </c>
      <c r="B90" s="1">
        <v>46199.544980891202</v>
      </c>
      <c r="D90" t="s">
        <v>78</v>
      </c>
      <c r="E90" t="s">
        <v>390</v>
      </c>
      <c r="F90">
        <v>29.389218</v>
      </c>
      <c r="G90">
        <v>79.453733</v>
      </c>
      <c r="H90">
        <v>1903.099975585938</v>
      </c>
      <c r="I90">
        <v>23.152999877929691</v>
      </c>
      <c r="J90" t="s">
        <v>102</v>
      </c>
      <c r="L90" t="s">
        <v>78</v>
      </c>
      <c r="M90">
        <v>2</v>
      </c>
      <c r="N90">
        <v>2</v>
      </c>
      <c r="P90" t="s">
        <v>98</v>
      </c>
      <c r="Q90" t="s">
        <v>78</v>
      </c>
      <c r="R90">
        <v>1</v>
      </c>
      <c r="S90">
        <v>0</v>
      </c>
      <c r="T90" t="s">
        <v>324</v>
      </c>
      <c r="W90">
        <v>1500</v>
      </c>
      <c r="X90">
        <v>1500</v>
      </c>
      <c r="Z90" t="s">
        <v>81</v>
      </c>
      <c r="BP90">
        <v>792917259</v>
      </c>
      <c r="BQ90" t="s">
        <v>391</v>
      </c>
      <c r="BR90" s="1">
        <v>46199.315821759257</v>
      </c>
      <c r="BU90" t="s">
        <v>86</v>
      </c>
      <c r="BW90" t="s">
        <v>279</v>
      </c>
      <c r="BY90" t="s">
        <v>392</v>
      </c>
      <c r="BZ90">
        <v>89</v>
      </c>
    </row>
    <row r="91" spans="1:78" x14ac:dyDescent="0.2">
      <c r="A91" s="1">
        <v>46199.509531678239</v>
      </c>
      <c r="B91" s="1">
        <v>46199.612312824072</v>
      </c>
      <c r="D91" t="s">
        <v>78</v>
      </c>
      <c r="E91" t="s">
        <v>393</v>
      </c>
      <c r="F91">
        <v>29.385656000000001</v>
      </c>
      <c r="G91">
        <v>79.462586999999999</v>
      </c>
      <c r="H91">
        <v>1954.1442298972979</v>
      </c>
      <c r="I91">
        <v>4.7337748730817939</v>
      </c>
      <c r="J91" t="s">
        <v>106</v>
      </c>
      <c r="L91" t="s">
        <v>78</v>
      </c>
      <c r="M91">
        <v>50</v>
      </c>
      <c r="N91">
        <v>0</v>
      </c>
      <c r="O91">
        <v>50</v>
      </c>
      <c r="P91" t="s">
        <v>81</v>
      </c>
      <c r="Q91" t="s">
        <v>78</v>
      </c>
      <c r="R91">
        <v>1</v>
      </c>
      <c r="S91">
        <v>0</v>
      </c>
      <c r="U91" t="s">
        <v>80</v>
      </c>
      <c r="W91">
        <v>250000</v>
      </c>
      <c r="X91">
        <v>150000</v>
      </c>
      <c r="Z91" t="s">
        <v>81</v>
      </c>
      <c r="AA91" t="s">
        <v>81</v>
      </c>
      <c r="AB91">
        <v>80</v>
      </c>
      <c r="AD91" t="s">
        <v>78</v>
      </c>
      <c r="AE91">
        <v>10000</v>
      </c>
      <c r="AF91" t="s">
        <v>82</v>
      </c>
      <c r="AH91" t="s">
        <v>83</v>
      </c>
      <c r="AI91">
        <v>1</v>
      </c>
      <c r="AJ91">
        <v>0</v>
      </c>
      <c r="AK91">
        <v>0</v>
      </c>
      <c r="AL91">
        <v>0</v>
      </c>
      <c r="AM91">
        <v>36000</v>
      </c>
      <c r="BP91">
        <v>793010809</v>
      </c>
      <c r="BQ91" t="s">
        <v>394</v>
      </c>
      <c r="BR91" s="1">
        <v>46199.383148148147</v>
      </c>
      <c r="BU91" t="s">
        <v>86</v>
      </c>
      <c r="BW91" t="s">
        <v>279</v>
      </c>
      <c r="BY91" t="s">
        <v>395</v>
      </c>
      <c r="BZ91">
        <v>90</v>
      </c>
    </row>
    <row r="92" spans="1:78" x14ac:dyDescent="0.2">
      <c r="A92" s="1">
        <v>46199.446255995368</v>
      </c>
      <c r="B92" s="1">
        <v>46199.626989791657</v>
      </c>
      <c r="D92" t="s">
        <v>78</v>
      </c>
      <c r="E92" t="s">
        <v>396</v>
      </c>
      <c r="F92">
        <v>29.391030000000001</v>
      </c>
      <c r="G92">
        <v>79.457241999999994</v>
      </c>
      <c r="H92">
        <v>1906.099975585938</v>
      </c>
      <c r="I92">
        <v>9.4630002975463867</v>
      </c>
      <c r="J92" t="s">
        <v>102</v>
      </c>
      <c r="L92" t="s">
        <v>78</v>
      </c>
      <c r="M92">
        <v>1</v>
      </c>
      <c r="N92">
        <v>12</v>
      </c>
      <c r="O92">
        <v>10</v>
      </c>
      <c r="P92" t="s">
        <v>81</v>
      </c>
      <c r="Q92" t="s">
        <v>78</v>
      </c>
      <c r="R92">
        <v>1</v>
      </c>
      <c r="S92">
        <v>0</v>
      </c>
      <c r="T92" t="s">
        <v>397</v>
      </c>
      <c r="U92" t="s">
        <v>80</v>
      </c>
      <c r="W92">
        <v>15000</v>
      </c>
      <c r="X92">
        <v>10000</v>
      </c>
      <c r="Z92" t="s">
        <v>81</v>
      </c>
      <c r="BP92">
        <v>793033931</v>
      </c>
      <c r="BQ92" t="s">
        <v>398</v>
      </c>
      <c r="BR92" s="1">
        <v>46199.397824074083</v>
      </c>
      <c r="BU92" t="s">
        <v>86</v>
      </c>
      <c r="BW92" t="s">
        <v>279</v>
      </c>
      <c r="BY92" t="s">
        <v>399</v>
      </c>
      <c r="BZ92">
        <v>91</v>
      </c>
    </row>
    <row r="93" spans="1:78" x14ac:dyDescent="0.2">
      <c r="A93" s="1">
        <v>46199.626990636571</v>
      </c>
      <c r="B93" s="1">
        <v>46199.656477060184</v>
      </c>
      <c r="D93" t="s">
        <v>78</v>
      </c>
      <c r="E93" t="s">
        <v>400</v>
      </c>
      <c r="F93">
        <v>29.391029</v>
      </c>
      <c r="G93">
        <v>79.457250000000002</v>
      </c>
      <c r="H93">
        <v>1906.099975585938</v>
      </c>
      <c r="I93">
        <v>13.43200016021729</v>
      </c>
      <c r="J93" t="s">
        <v>97</v>
      </c>
      <c r="L93" t="s">
        <v>78</v>
      </c>
      <c r="M93">
        <v>15</v>
      </c>
      <c r="N93">
        <v>0</v>
      </c>
      <c r="O93">
        <v>15</v>
      </c>
      <c r="P93" t="s">
        <v>98</v>
      </c>
      <c r="Q93" t="s">
        <v>78</v>
      </c>
      <c r="R93">
        <v>1</v>
      </c>
      <c r="S93">
        <v>0</v>
      </c>
      <c r="T93" t="s">
        <v>401</v>
      </c>
      <c r="U93" t="s">
        <v>80</v>
      </c>
      <c r="W93">
        <v>15000</v>
      </c>
      <c r="X93">
        <v>10000</v>
      </c>
      <c r="Z93" t="s">
        <v>81</v>
      </c>
      <c r="AA93" t="s">
        <v>78</v>
      </c>
      <c r="AE93">
        <v>1000</v>
      </c>
      <c r="AF93" t="s">
        <v>92</v>
      </c>
      <c r="AG93" t="s">
        <v>402</v>
      </c>
      <c r="AH93" t="s">
        <v>83</v>
      </c>
      <c r="AI93">
        <v>1</v>
      </c>
      <c r="AJ93">
        <v>0</v>
      </c>
      <c r="AK93">
        <v>0</v>
      </c>
      <c r="AL93">
        <v>0</v>
      </c>
      <c r="AM93">
        <v>5000</v>
      </c>
      <c r="AN93">
        <v>20000</v>
      </c>
      <c r="BP93">
        <v>793083941</v>
      </c>
      <c r="BQ93" t="s">
        <v>403</v>
      </c>
      <c r="BR93" s="1">
        <v>46199.42732638889</v>
      </c>
      <c r="BU93" t="s">
        <v>86</v>
      </c>
      <c r="BW93" t="s">
        <v>279</v>
      </c>
      <c r="BY93" t="s">
        <v>404</v>
      </c>
      <c r="BZ93">
        <v>92</v>
      </c>
    </row>
    <row r="94" spans="1:78" x14ac:dyDescent="0.2">
      <c r="A94" s="1">
        <v>46199.471942812503</v>
      </c>
      <c r="B94" s="1">
        <v>46200.447404375001</v>
      </c>
      <c r="D94" t="s">
        <v>78</v>
      </c>
      <c r="J94" t="s">
        <v>79</v>
      </c>
      <c r="L94" t="s">
        <v>78</v>
      </c>
      <c r="M94">
        <v>2</v>
      </c>
      <c r="N94">
        <v>0</v>
      </c>
      <c r="O94">
        <v>2</v>
      </c>
      <c r="P94" t="s">
        <v>81</v>
      </c>
      <c r="Q94" t="s">
        <v>78</v>
      </c>
      <c r="R94">
        <v>1</v>
      </c>
      <c r="S94">
        <v>0</v>
      </c>
      <c r="T94" t="s">
        <v>405</v>
      </c>
      <c r="U94" t="s">
        <v>80</v>
      </c>
      <c r="W94">
        <v>1000</v>
      </c>
      <c r="X94">
        <v>400</v>
      </c>
      <c r="Z94" t="s">
        <v>81</v>
      </c>
      <c r="AF94" t="s">
        <v>92</v>
      </c>
      <c r="BP94">
        <v>793883326</v>
      </c>
      <c r="BQ94" t="s">
        <v>406</v>
      </c>
      <c r="BR94" s="1">
        <v>46200.218252314808</v>
      </c>
      <c r="BU94" t="s">
        <v>86</v>
      </c>
      <c r="BW94" t="s">
        <v>279</v>
      </c>
      <c r="BY94" t="s">
        <v>407</v>
      </c>
      <c r="BZ94">
        <v>93</v>
      </c>
    </row>
    <row r="95" spans="1:78" x14ac:dyDescent="0.2">
      <c r="A95" s="1">
        <v>46199.444755937497</v>
      </c>
      <c r="B95" s="1">
        <v>46200.449466307873</v>
      </c>
      <c r="D95" t="s">
        <v>78</v>
      </c>
      <c r="E95" t="s">
        <v>408</v>
      </c>
      <c r="F95">
        <v>29.392733</v>
      </c>
      <c r="G95">
        <v>79.455243999999993</v>
      </c>
      <c r="H95">
        <v>1926.099975585938</v>
      </c>
      <c r="I95">
        <v>20</v>
      </c>
      <c r="J95" t="s">
        <v>106</v>
      </c>
      <c r="L95" t="s">
        <v>78</v>
      </c>
      <c r="M95">
        <v>6</v>
      </c>
      <c r="N95">
        <v>4</v>
      </c>
      <c r="O95">
        <v>1</v>
      </c>
      <c r="P95" t="s">
        <v>81</v>
      </c>
      <c r="Q95" t="s">
        <v>78</v>
      </c>
      <c r="R95">
        <v>1</v>
      </c>
      <c r="S95">
        <v>0</v>
      </c>
      <c r="T95" t="s">
        <v>409</v>
      </c>
      <c r="U95" t="s">
        <v>80</v>
      </c>
      <c r="W95">
        <v>18000</v>
      </c>
      <c r="X95">
        <v>10000</v>
      </c>
      <c r="Z95" t="s">
        <v>81</v>
      </c>
      <c r="AA95" t="s">
        <v>81</v>
      </c>
      <c r="AB95">
        <v>50</v>
      </c>
      <c r="AC95">
        <v>50</v>
      </c>
      <c r="AD95" t="s">
        <v>81</v>
      </c>
      <c r="AE95">
        <v>10000</v>
      </c>
      <c r="AF95" t="s">
        <v>114</v>
      </c>
      <c r="AG95" t="s">
        <v>410</v>
      </c>
      <c r="AH95" t="s">
        <v>83</v>
      </c>
      <c r="AI95">
        <v>1</v>
      </c>
      <c r="AJ95">
        <v>0</v>
      </c>
      <c r="AK95">
        <v>0</v>
      </c>
      <c r="AL95">
        <v>0</v>
      </c>
      <c r="AM95">
        <v>800</v>
      </c>
      <c r="AN95">
        <v>11200</v>
      </c>
      <c r="BP95">
        <v>793884340</v>
      </c>
      <c r="BQ95" t="s">
        <v>411</v>
      </c>
      <c r="BR95" s="1">
        <v>46200.220358796287</v>
      </c>
      <c r="BU95" t="s">
        <v>86</v>
      </c>
      <c r="BW95" t="s">
        <v>279</v>
      </c>
      <c r="BY95" t="s">
        <v>412</v>
      </c>
      <c r="BZ95">
        <v>94</v>
      </c>
    </row>
    <row r="96" spans="1:78" x14ac:dyDescent="0.2">
      <c r="A96" s="1">
        <v>46200.435922685188</v>
      </c>
      <c r="B96" s="1">
        <v>46200.456533414363</v>
      </c>
      <c r="D96" t="s">
        <v>78</v>
      </c>
      <c r="E96" t="s">
        <v>413</v>
      </c>
      <c r="F96">
        <v>29.389282000000001</v>
      </c>
      <c r="G96">
        <v>79.453905000000006</v>
      </c>
      <c r="H96">
        <v>1902</v>
      </c>
      <c r="I96">
        <v>4.4250001907348633</v>
      </c>
      <c r="J96" t="s">
        <v>102</v>
      </c>
      <c r="L96" t="s">
        <v>81</v>
      </c>
      <c r="M96">
        <v>1</v>
      </c>
      <c r="N96">
        <v>0</v>
      </c>
      <c r="O96">
        <v>0</v>
      </c>
      <c r="P96" t="s">
        <v>81</v>
      </c>
      <c r="Q96" t="s">
        <v>78</v>
      </c>
      <c r="R96">
        <v>1</v>
      </c>
      <c r="S96">
        <v>0</v>
      </c>
      <c r="T96" t="s">
        <v>414</v>
      </c>
      <c r="W96">
        <v>700</v>
      </c>
      <c r="X96">
        <v>700</v>
      </c>
      <c r="Z96" t="s">
        <v>81</v>
      </c>
      <c r="AF96" t="s">
        <v>82</v>
      </c>
      <c r="BP96">
        <v>793887942</v>
      </c>
      <c r="BQ96" t="s">
        <v>415</v>
      </c>
      <c r="BR96" s="1">
        <v>46200.227395833332</v>
      </c>
      <c r="BU96" t="s">
        <v>86</v>
      </c>
      <c r="BW96" t="s">
        <v>279</v>
      </c>
      <c r="BY96" t="s">
        <v>416</v>
      </c>
      <c r="BZ96">
        <v>95</v>
      </c>
    </row>
    <row r="97" spans="1:78" x14ac:dyDescent="0.2">
      <c r="A97" s="1">
        <v>46200.457937858802</v>
      </c>
      <c r="B97" s="1">
        <v>46200.462583993052</v>
      </c>
      <c r="D97" t="s">
        <v>78</v>
      </c>
      <c r="E97" t="s">
        <v>417</v>
      </c>
      <c r="F97">
        <v>29.385124999999999</v>
      </c>
      <c r="G97">
        <v>79.463791999999998</v>
      </c>
      <c r="H97">
        <v>1942</v>
      </c>
      <c r="I97">
        <v>19.941999435424801</v>
      </c>
      <c r="J97" t="s">
        <v>106</v>
      </c>
      <c r="L97" t="s">
        <v>78</v>
      </c>
      <c r="M97">
        <v>3</v>
      </c>
      <c r="N97">
        <v>2</v>
      </c>
      <c r="O97">
        <v>2</v>
      </c>
      <c r="P97" t="s">
        <v>81</v>
      </c>
      <c r="Q97" t="s">
        <v>78</v>
      </c>
      <c r="R97">
        <v>1</v>
      </c>
      <c r="S97">
        <v>0</v>
      </c>
      <c r="T97" t="s">
        <v>418</v>
      </c>
      <c r="U97" t="s">
        <v>80</v>
      </c>
      <c r="W97">
        <v>20000</v>
      </c>
      <c r="X97">
        <v>10000</v>
      </c>
      <c r="Z97" t="s">
        <v>81</v>
      </c>
      <c r="AA97" t="s">
        <v>81</v>
      </c>
      <c r="AB97">
        <v>16</v>
      </c>
      <c r="AC97">
        <v>18</v>
      </c>
      <c r="AD97" t="s">
        <v>81</v>
      </c>
      <c r="AE97">
        <v>1000</v>
      </c>
      <c r="AF97" t="s">
        <v>92</v>
      </c>
      <c r="AG97" t="s">
        <v>419</v>
      </c>
      <c r="AH97" t="s">
        <v>83</v>
      </c>
      <c r="AI97">
        <v>1</v>
      </c>
      <c r="AJ97">
        <v>0</v>
      </c>
      <c r="AK97">
        <v>0</v>
      </c>
      <c r="AL97">
        <v>0</v>
      </c>
      <c r="AM97">
        <v>45000</v>
      </c>
      <c r="AN97">
        <v>60000</v>
      </c>
      <c r="BP97">
        <v>793890819</v>
      </c>
      <c r="BQ97" t="s">
        <v>420</v>
      </c>
      <c r="BR97" s="1">
        <v>46200.233437499999</v>
      </c>
      <c r="BU97" t="s">
        <v>86</v>
      </c>
      <c r="BW97" t="s">
        <v>279</v>
      </c>
      <c r="BY97" t="s">
        <v>421</v>
      </c>
      <c r="BZ97">
        <v>96</v>
      </c>
    </row>
    <row r="98" spans="1:78" x14ac:dyDescent="0.2">
      <c r="A98" s="1">
        <v>46200.447405370367</v>
      </c>
      <c r="B98" s="1">
        <v>46200.484229594913</v>
      </c>
      <c r="D98" t="s">
        <v>78</v>
      </c>
      <c r="J98" t="s">
        <v>106</v>
      </c>
      <c r="L98" t="s">
        <v>78</v>
      </c>
      <c r="M98">
        <v>15</v>
      </c>
      <c r="N98">
        <v>25</v>
      </c>
      <c r="O98">
        <v>5</v>
      </c>
      <c r="P98" t="s">
        <v>81</v>
      </c>
      <c r="Q98" t="s">
        <v>78</v>
      </c>
      <c r="R98">
        <v>1</v>
      </c>
      <c r="S98">
        <v>0</v>
      </c>
      <c r="T98" t="s">
        <v>405</v>
      </c>
      <c r="U98" t="s">
        <v>80</v>
      </c>
      <c r="W98">
        <v>80000</v>
      </c>
      <c r="X98">
        <v>60000</v>
      </c>
      <c r="Z98" t="s">
        <v>81</v>
      </c>
      <c r="AA98" t="s">
        <v>78</v>
      </c>
      <c r="AB98">
        <v>70</v>
      </c>
      <c r="AC98">
        <v>170</v>
      </c>
      <c r="AD98" t="s">
        <v>78</v>
      </c>
      <c r="AE98">
        <v>40000</v>
      </c>
      <c r="AF98" t="s">
        <v>82</v>
      </c>
      <c r="AH98" t="s">
        <v>83</v>
      </c>
      <c r="AI98">
        <v>1</v>
      </c>
      <c r="AJ98">
        <v>0</v>
      </c>
      <c r="AK98">
        <v>0</v>
      </c>
      <c r="AL98">
        <v>0</v>
      </c>
      <c r="AM98">
        <v>25000</v>
      </c>
      <c r="AN98">
        <v>70000</v>
      </c>
      <c r="BP98">
        <v>793903223</v>
      </c>
      <c r="BQ98" t="s">
        <v>422</v>
      </c>
      <c r="BR98" s="1">
        <v>46200.25508101852</v>
      </c>
      <c r="BU98" t="s">
        <v>86</v>
      </c>
      <c r="BW98" t="s">
        <v>279</v>
      </c>
      <c r="BY98" t="s">
        <v>423</v>
      </c>
      <c r="BZ98">
        <v>97</v>
      </c>
    </row>
    <row r="99" spans="1:78" x14ac:dyDescent="0.2">
      <c r="A99" s="1">
        <v>46200.45375659722</v>
      </c>
      <c r="B99" s="1">
        <v>46200.493082939807</v>
      </c>
      <c r="D99" t="s">
        <v>78</v>
      </c>
      <c r="J99" t="s">
        <v>102</v>
      </c>
      <c r="L99" t="s">
        <v>78</v>
      </c>
      <c r="M99">
        <v>2</v>
      </c>
      <c r="N99">
        <v>0</v>
      </c>
      <c r="O99">
        <v>2</v>
      </c>
      <c r="P99" t="s">
        <v>81</v>
      </c>
      <c r="Q99" t="s">
        <v>81</v>
      </c>
      <c r="R99">
        <v>0</v>
      </c>
      <c r="S99">
        <v>1</v>
      </c>
      <c r="T99" t="s">
        <v>424</v>
      </c>
      <c r="U99" t="s">
        <v>80</v>
      </c>
      <c r="W99">
        <v>2000</v>
      </c>
      <c r="X99">
        <v>2000</v>
      </c>
      <c r="Z99" t="s">
        <v>81</v>
      </c>
      <c r="BP99">
        <v>793909201</v>
      </c>
      <c r="BQ99" t="s">
        <v>425</v>
      </c>
      <c r="BR99" s="1">
        <v>46200.263923611114</v>
      </c>
      <c r="BU99" t="s">
        <v>86</v>
      </c>
      <c r="BW99" t="s">
        <v>279</v>
      </c>
      <c r="BY99" t="s">
        <v>426</v>
      </c>
      <c r="BZ99">
        <v>98</v>
      </c>
    </row>
    <row r="100" spans="1:78" x14ac:dyDescent="0.2">
      <c r="A100" s="1">
        <v>46200.537007812498</v>
      </c>
      <c r="B100" s="1">
        <v>46200.539336782407</v>
      </c>
      <c r="J100" t="s">
        <v>106</v>
      </c>
      <c r="L100" t="s">
        <v>78</v>
      </c>
      <c r="P100" t="s">
        <v>81</v>
      </c>
      <c r="Q100" t="s">
        <v>81</v>
      </c>
      <c r="R100">
        <v>0</v>
      </c>
      <c r="S100">
        <v>1</v>
      </c>
      <c r="Z100" t="s">
        <v>81</v>
      </c>
      <c r="AA100" t="s">
        <v>78</v>
      </c>
      <c r="AB100">
        <v>32</v>
      </c>
      <c r="AC100">
        <v>40</v>
      </c>
      <c r="AD100" t="s">
        <v>78</v>
      </c>
      <c r="AF100" t="s">
        <v>92</v>
      </c>
      <c r="AH100" t="s">
        <v>83</v>
      </c>
      <c r="AI100">
        <v>1</v>
      </c>
      <c r="AJ100">
        <v>0</v>
      </c>
      <c r="AK100">
        <v>0</v>
      </c>
      <c r="AL100">
        <v>0</v>
      </c>
      <c r="BP100">
        <v>793946236</v>
      </c>
      <c r="BQ100" t="s">
        <v>427</v>
      </c>
      <c r="BR100" s="1">
        <v>46200.310173611113</v>
      </c>
      <c r="BU100" t="s">
        <v>86</v>
      </c>
      <c r="BW100" t="s">
        <v>279</v>
      </c>
      <c r="BY100" t="s">
        <v>428</v>
      </c>
      <c r="BZ100">
        <v>99</v>
      </c>
    </row>
    <row r="101" spans="1:78" x14ac:dyDescent="0.2">
      <c r="A101" s="1">
        <v>46200.53933767361</v>
      </c>
      <c r="B101" s="1">
        <v>46200.606712766203</v>
      </c>
      <c r="D101" t="s">
        <v>78</v>
      </c>
      <c r="E101" t="s">
        <v>429</v>
      </c>
      <c r="F101">
        <v>29.379087999999999</v>
      </c>
      <c r="G101">
        <v>79.467719000000002</v>
      </c>
      <c r="H101">
        <v>1988.800048828125</v>
      </c>
      <c r="I101">
        <v>7.6999998092651367</v>
      </c>
      <c r="J101" t="s">
        <v>97</v>
      </c>
      <c r="L101" t="s">
        <v>78</v>
      </c>
      <c r="M101">
        <v>10</v>
      </c>
      <c r="N101">
        <v>0</v>
      </c>
      <c r="O101">
        <v>0</v>
      </c>
      <c r="P101" t="s">
        <v>98</v>
      </c>
      <c r="Q101" t="s">
        <v>78</v>
      </c>
      <c r="R101">
        <v>1</v>
      </c>
      <c r="S101">
        <v>0</v>
      </c>
      <c r="T101" t="s">
        <v>430</v>
      </c>
      <c r="U101" t="s">
        <v>80</v>
      </c>
      <c r="W101">
        <v>3000</v>
      </c>
      <c r="X101">
        <v>3000</v>
      </c>
      <c r="Z101" t="s">
        <v>81</v>
      </c>
      <c r="AA101" t="s">
        <v>78</v>
      </c>
      <c r="AE101">
        <v>1000</v>
      </c>
      <c r="AF101" t="s">
        <v>92</v>
      </c>
      <c r="AG101" t="s">
        <v>431</v>
      </c>
      <c r="AH101" t="s">
        <v>83</v>
      </c>
      <c r="AI101">
        <v>1</v>
      </c>
      <c r="AJ101">
        <v>0</v>
      </c>
      <c r="AK101">
        <v>0</v>
      </c>
      <c r="AL101">
        <v>0</v>
      </c>
      <c r="AM101">
        <v>1200</v>
      </c>
      <c r="AN101">
        <v>400</v>
      </c>
      <c r="BP101">
        <v>794006453</v>
      </c>
      <c r="BQ101" t="s">
        <v>432</v>
      </c>
      <c r="BR101" s="1">
        <v>46200.377557870372</v>
      </c>
      <c r="BU101" t="s">
        <v>86</v>
      </c>
      <c r="BW101" t="s">
        <v>279</v>
      </c>
      <c r="BY101" t="s">
        <v>433</v>
      </c>
      <c r="BZ101">
        <v>100</v>
      </c>
    </row>
    <row r="102" spans="1:78" x14ac:dyDescent="0.2">
      <c r="A102" s="1">
        <v>46200.651881840276</v>
      </c>
      <c r="B102" s="1">
        <v>46200.653046168984</v>
      </c>
      <c r="D102" t="s">
        <v>78</v>
      </c>
      <c r="J102" t="s">
        <v>97</v>
      </c>
      <c r="L102" t="s">
        <v>78</v>
      </c>
      <c r="M102">
        <v>5</v>
      </c>
      <c r="N102">
        <v>0</v>
      </c>
      <c r="O102">
        <v>4</v>
      </c>
      <c r="P102" t="s">
        <v>81</v>
      </c>
      <c r="Q102" t="s">
        <v>78</v>
      </c>
      <c r="R102">
        <v>1</v>
      </c>
      <c r="S102">
        <v>0</v>
      </c>
      <c r="U102" t="s">
        <v>80</v>
      </c>
      <c r="W102">
        <v>3000</v>
      </c>
      <c r="X102">
        <v>2500</v>
      </c>
      <c r="Z102" t="s">
        <v>78</v>
      </c>
      <c r="AA102" t="s">
        <v>81</v>
      </c>
      <c r="AE102">
        <v>1000</v>
      </c>
      <c r="AF102" t="s">
        <v>92</v>
      </c>
      <c r="AH102" t="s">
        <v>83</v>
      </c>
      <c r="AI102">
        <v>1</v>
      </c>
      <c r="AJ102">
        <v>0</v>
      </c>
      <c r="AK102">
        <v>0</v>
      </c>
      <c r="AL102">
        <v>0</v>
      </c>
      <c r="AM102">
        <v>150000</v>
      </c>
      <c r="AN102">
        <v>200000</v>
      </c>
      <c r="BP102">
        <v>794053893</v>
      </c>
      <c r="BQ102" t="s">
        <v>434</v>
      </c>
      <c r="BR102" s="1">
        <v>46200.423877314817</v>
      </c>
      <c r="BU102" t="s">
        <v>86</v>
      </c>
      <c r="BW102" t="s">
        <v>279</v>
      </c>
      <c r="BY102" t="s">
        <v>435</v>
      </c>
      <c r="BZ102">
        <v>101</v>
      </c>
    </row>
    <row r="103" spans="1:78" x14ac:dyDescent="0.2">
      <c r="A103" s="1">
        <v>46199.512234814807</v>
      </c>
      <c r="B103" s="1">
        <v>46200.464914351847</v>
      </c>
      <c r="D103" t="s">
        <v>78</v>
      </c>
      <c r="E103" t="s">
        <v>436</v>
      </c>
      <c r="F103">
        <v>29.390381999999999</v>
      </c>
      <c r="G103">
        <v>79.454015999999996</v>
      </c>
      <c r="H103">
        <v>1949.076926184279</v>
      </c>
      <c r="I103">
        <v>26.961644204487481</v>
      </c>
      <c r="J103" t="s">
        <v>102</v>
      </c>
      <c r="L103" t="s">
        <v>81</v>
      </c>
      <c r="M103">
        <v>1</v>
      </c>
      <c r="N103">
        <v>0</v>
      </c>
      <c r="O103">
        <v>0</v>
      </c>
      <c r="P103" t="s">
        <v>98</v>
      </c>
      <c r="Q103" t="s">
        <v>78</v>
      </c>
      <c r="R103">
        <v>1</v>
      </c>
      <c r="S103">
        <v>0</v>
      </c>
      <c r="T103" t="s">
        <v>324</v>
      </c>
      <c r="U103" t="s">
        <v>80</v>
      </c>
      <c r="W103">
        <v>3000</v>
      </c>
      <c r="X103">
        <v>3000</v>
      </c>
      <c r="Z103" t="s">
        <v>81</v>
      </c>
      <c r="AF103" t="s">
        <v>82</v>
      </c>
      <c r="BP103">
        <v>794946612</v>
      </c>
      <c r="BQ103" t="s">
        <v>437</v>
      </c>
      <c r="BR103" s="1">
        <v>46201.68949074074</v>
      </c>
      <c r="BU103" t="s">
        <v>86</v>
      </c>
      <c r="BW103" t="s">
        <v>279</v>
      </c>
      <c r="BY103" t="s">
        <v>438</v>
      </c>
      <c r="BZ103">
        <v>102</v>
      </c>
    </row>
    <row r="104" spans="1:78" x14ac:dyDescent="0.2">
      <c r="A104" s="1">
        <v>46202.420139733797</v>
      </c>
      <c r="B104" s="1">
        <v>46202.422476030093</v>
      </c>
      <c r="D104" t="s">
        <v>78</v>
      </c>
      <c r="J104" t="s">
        <v>102</v>
      </c>
      <c r="L104" t="s">
        <v>78</v>
      </c>
      <c r="M104">
        <v>1</v>
      </c>
      <c r="N104">
        <v>0</v>
      </c>
      <c r="O104">
        <v>1</v>
      </c>
      <c r="P104" t="s">
        <v>81</v>
      </c>
      <c r="Q104" t="s">
        <v>78</v>
      </c>
      <c r="R104">
        <v>1</v>
      </c>
      <c r="S104">
        <v>0</v>
      </c>
      <c r="W104">
        <v>250</v>
      </c>
      <c r="X104">
        <v>250</v>
      </c>
      <c r="Y104" t="s">
        <v>81</v>
      </c>
      <c r="AA104" t="s">
        <v>81</v>
      </c>
      <c r="AD104" t="s">
        <v>81</v>
      </c>
      <c r="BP104">
        <v>795176538</v>
      </c>
      <c r="BQ104" t="s">
        <v>439</v>
      </c>
      <c r="BR104" s="1">
        <v>46202.19332175926</v>
      </c>
      <c r="BU104" t="s">
        <v>86</v>
      </c>
      <c r="BW104" t="s">
        <v>87</v>
      </c>
      <c r="BY104" t="s">
        <v>440</v>
      </c>
      <c r="BZ104">
        <v>103</v>
      </c>
    </row>
    <row r="105" spans="1:78" x14ac:dyDescent="0.2">
      <c r="A105" s="1">
        <v>46202.422477094908</v>
      </c>
      <c r="B105" s="1">
        <v>46202.431011250002</v>
      </c>
      <c r="D105" t="s">
        <v>78</v>
      </c>
      <c r="J105" t="s">
        <v>97</v>
      </c>
      <c r="L105" t="s">
        <v>78</v>
      </c>
      <c r="M105">
        <v>5</v>
      </c>
      <c r="O105">
        <v>5</v>
      </c>
      <c r="P105" t="s">
        <v>81</v>
      </c>
      <c r="Q105" t="s">
        <v>78</v>
      </c>
      <c r="R105">
        <v>1</v>
      </c>
      <c r="S105">
        <v>0</v>
      </c>
      <c r="U105" t="s">
        <v>80</v>
      </c>
      <c r="W105">
        <v>5000</v>
      </c>
      <c r="X105">
        <v>3600</v>
      </c>
      <c r="Z105" t="s">
        <v>81</v>
      </c>
      <c r="AA105" t="s">
        <v>81</v>
      </c>
      <c r="AE105">
        <v>2000</v>
      </c>
      <c r="AF105" t="s">
        <v>82</v>
      </c>
      <c r="AH105" t="s">
        <v>83</v>
      </c>
      <c r="AI105">
        <v>1</v>
      </c>
      <c r="AJ105">
        <v>0</v>
      </c>
      <c r="AK105">
        <v>0</v>
      </c>
      <c r="AL105">
        <v>0</v>
      </c>
      <c r="AM105">
        <v>2000</v>
      </c>
      <c r="AN105">
        <v>24000</v>
      </c>
      <c r="BP105">
        <v>795181901</v>
      </c>
      <c r="BQ105" t="s">
        <v>441</v>
      </c>
      <c r="BR105" s="1">
        <v>46202.201863425929</v>
      </c>
      <c r="BU105" t="s">
        <v>86</v>
      </c>
      <c r="BW105" t="s">
        <v>279</v>
      </c>
      <c r="BY105" t="s">
        <v>442</v>
      </c>
      <c r="BZ105">
        <v>104</v>
      </c>
    </row>
    <row r="106" spans="1:78" x14ac:dyDescent="0.2">
      <c r="A106" s="1">
        <v>46200.462584513887</v>
      </c>
      <c r="B106" s="1">
        <v>46200.486222893524</v>
      </c>
      <c r="D106" t="s">
        <v>78</v>
      </c>
      <c r="E106" t="s">
        <v>443</v>
      </c>
      <c r="F106">
        <v>29.383725999999999</v>
      </c>
      <c r="G106">
        <v>79.464095</v>
      </c>
      <c r="H106">
        <v>1929.400024414062</v>
      </c>
      <c r="I106">
        <v>12.902999877929689</v>
      </c>
      <c r="J106" t="s">
        <v>106</v>
      </c>
      <c r="L106" t="s">
        <v>78</v>
      </c>
      <c r="M106">
        <v>18</v>
      </c>
      <c r="N106">
        <v>5</v>
      </c>
      <c r="O106">
        <v>8</v>
      </c>
      <c r="P106" t="s">
        <v>81</v>
      </c>
      <c r="Q106" t="s">
        <v>78</v>
      </c>
      <c r="R106">
        <v>1</v>
      </c>
      <c r="S106">
        <v>0</v>
      </c>
      <c r="T106" t="s">
        <v>190</v>
      </c>
      <c r="U106" t="s">
        <v>80</v>
      </c>
      <c r="W106">
        <v>33000</v>
      </c>
      <c r="X106">
        <v>21000</v>
      </c>
      <c r="Z106" t="s">
        <v>81</v>
      </c>
      <c r="AA106" t="s">
        <v>81</v>
      </c>
      <c r="AB106">
        <v>50</v>
      </c>
      <c r="AC106">
        <v>160</v>
      </c>
      <c r="AD106" t="s">
        <v>78</v>
      </c>
      <c r="AE106">
        <v>2000</v>
      </c>
      <c r="AF106" t="s">
        <v>92</v>
      </c>
      <c r="AG106" t="s">
        <v>444</v>
      </c>
      <c r="AH106" t="s">
        <v>445</v>
      </c>
      <c r="AI106">
        <v>1</v>
      </c>
      <c r="AJ106">
        <v>1</v>
      </c>
      <c r="AK106">
        <v>0</v>
      </c>
      <c r="AL106">
        <v>0</v>
      </c>
      <c r="AM106">
        <v>84000</v>
      </c>
      <c r="AN106">
        <v>216000</v>
      </c>
      <c r="BP106">
        <v>795182706</v>
      </c>
      <c r="BQ106" t="s">
        <v>446</v>
      </c>
      <c r="BR106" s="1">
        <v>46202.203020833331</v>
      </c>
      <c r="BU106" t="s">
        <v>86</v>
      </c>
      <c r="BW106" t="s">
        <v>279</v>
      </c>
      <c r="BY106" t="s">
        <v>447</v>
      </c>
      <c r="BZ106">
        <v>105</v>
      </c>
    </row>
    <row r="107" spans="1:78" x14ac:dyDescent="0.2">
      <c r="A107" s="1">
        <v>46200.606713761583</v>
      </c>
      <c r="B107" s="1">
        <v>46202.435231620373</v>
      </c>
      <c r="D107" t="s">
        <v>78</v>
      </c>
      <c r="E107" t="s">
        <v>448</v>
      </c>
      <c r="F107">
        <v>29.391815999999999</v>
      </c>
      <c r="G107">
        <v>79.455314999999999</v>
      </c>
      <c r="H107">
        <v>1909.699951171875</v>
      </c>
      <c r="I107">
        <v>9.3559999465942383</v>
      </c>
      <c r="J107" t="s">
        <v>106</v>
      </c>
      <c r="L107" t="s">
        <v>78</v>
      </c>
      <c r="M107">
        <v>18</v>
      </c>
      <c r="N107">
        <v>0</v>
      </c>
      <c r="O107">
        <v>10</v>
      </c>
      <c r="P107" t="s">
        <v>98</v>
      </c>
      <c r="Q107" t="s">
        <v>78</v>
      </c>
      <c r="R107">
        <v>1</v>
      </c>
      <c r="S107">
        <v>0</v>
      </c>
      <c r="T107" t="s">
        <v>190</v>
      </c>
      <c r="U107" t="s">
        <v>80</v>
      </c>
      <c r="W107">
        <v>20000</v>
      </c>
      <c r="X107">
        <v>20000</v>
      </c>
      <c r="Z107" t="s">
        <v>81</v>
      </c>
      <c r="AA107" t="s">
        <v>81</v>
      </c>
      <c r="AB107">
        <v>36</v>
      </c>
      <c r="AC107">
        <v>30</v>
      </c>
      <c r="AD107" t="s">
        <v>81</v>
      </c>
      <c r="AE107">
        <v>0</v>
      </c>
      <c r="AF107" t="s">
        <v>82</v>
      </c>
      <c r="AH107" t="s">
        <v>83</v>
      </c>
      <c r="AI107">
        <v>1</v>
      </c>
      <c r="AJ107">
        <v>0</v>
      </c>
      <c r="AK107">
        <v>0</v>
      </c>
      <c r="AL107">
        <v>0</v>
      </c>
      <c r="AM107">
        <v>50000</v>
      </c>
      <c r="AN107">
        <v>0</v>
      </c>
      <c r="BP107">
        <v>795184899</v>
      </c>
      <c r="BQ107" t="s">
        <v>449</v>
      </c>
      <c r="BR107" s="1">
        <v>46202.206076388888</v>
      </c>
      <c r="BU107" t="s">
        <v>86</v>
      </c>
      <c r="BW107" t="s">
        <v>279</v>
      </c>
      <c r="BY107" t="s">
        <v>450</v>
      </c>
      <c r="BZ107">
        <v>106</v>
      </c>
    </row>
    <row r="108" spans="1:78" x14ac:dyDescent="0.2">
      <c r="A108" s="1">
        <v>46202.431011817127</v>
      </c>
      <c r="B108" s="1">
        <v>46202.441130243053</v>
      </c>
      <c r="D108" t="s">
        <v>78</v>
      </c>
      <c r="J108" t="s">
        <v>102</v>
      </c>
      <c r="L108" t="s">
        <v>78</v>
      </c>
      <c r="M108">
        <v>3</v>
      </c>
      <c r="N108">
        <v>3</v>
      </c>
      <c r="O108">
        <v>3</v>
      </c>
      <c r="P108" t="s">
        <v>81</v>
      </c>
      <c r="Q108" t="s">
        <v>78</v>
      </c>
      <c r="R108">
        <v>1</v>
      </c>
      <c r="S108">
        <v>0</v>
      </c>
      <c r="T108" t="s">
        <v>451</v>
      </c>
      <c r="W108">
        <v>500</v>
      </c>
      <c r="X108">
        <v>450</v>
      </c>
      <c r="Z108" t="s">
        <v>81</v>
      </c>
      <c r="AF108" t="s">
        <v>82</v>
      </c>
      <c r="BP108">
        <v>795189244</v>
      </c>
      <c r="BQ108" t="s">
        <v>452</v>
      </c>
      <c r="BR108" s="1">
        <v>46202.21197916667</v>
      </c>
      <c r="BU108" t="s">
        <v>86</v>
      </c>
      <c r="BW108" t="s">
        <v>279</v>
      </c>
      <c r="BY108" t="s">
        <v>453</v>
      </c>
      <c r="BZ108">
        <v>107</v>
      </c>
    </row>
    <row r="109" spans="1:78" x14ac:dyDescent="0.2">
      <c r="A109" s="1">
        <v>46202.439842743057</v>
      </c>
      <c r="B109" s="1">
        <v>46202.444711585653</v>
      </c>
      <c r="D109" t="s">
        <v>81</v>
      </c>
      <c r="J109" t="s">
        <v>106</v>
      </c>
      <c r="L109" t="s">
        <v>78</v>
      </c>
      <c r="M109">
        <v>8</v>
      </c>
      <c r="N109">
        <v>0</v>
      </c>
      <c r="O109">
        <v>8</v>
      </c>
      <c r="P109" t="s">
        <v>81</v>
      </c>
      <c r="Q109" t="s">
        <v>78</v>
      </c>
      <c r="R109">
        <v>1</v>
      </c>
      <c r="S109">
        <v>0</v>
      </c>
      <c r="U109" t="s">
        <v>80</v>
      </c>
      <c r="W109">
        <v>20000</v>
      </c>
      <c r="X109">
        <v>10000</v>
      </c>
      <c r="Y109" t="s">
        <v>81</v>
      </c>
      <c r="AA109" t="s">
        <v>81</v>
      </c>
      <c r="AD109" t="s">
        <v>81</v>
      </c>
      <c r="AE109">
        <v>15000</v>
      </c>
      <c r="AF109" t="s">
        <v>142</v>
      </c>
      <c r="AH109" t="s">
        <v>83</v>
      </c>
      <c r="AI109">
        <v>1</v>
      </c>
      <c r="AJ109">
        <v>0</v>
      </c>
      <c r="AK109">
        <v>0</v>
      </c>
      <c r="AL109">
        <v>0</v>
      </c>
      <c r="AY109" t="s">
        <v>94</v>
      </c>
      <c r="AZ109">
        <v>0</v>
      </c>
      <c r="BA109">
        <v>0</v>
      </c>
      <c r="BB109">
        <v>0</v>
      </c>
      <c r="BC109">
        <v>1</v>
      </c>
      <c r="BG109" t="s">
        <v>81</v>
      </c>
      <c r="BI109" t="s">
        <v>78</v>
      </c>
      <c r="BP109">
        <v>795191995</v>
      </c>
      <c r="BQ109" t="s">
        <v>454</v>
      </c>
      <c r="BR109" s="1">
        <v>46202.215555555558</v>
      </c>
      <c r="BU109" t="s">
        <v>86</v>
      </c>
      <c r="BW109" t="s">
        <v>87</v>
      </c>
      <c r="BY109" t="s">
        <v>455</v>
      </c>
      <c r="BZ109">
        <v>108</v>
      </c>
    </row>
    <row r="110" spans="1:78" x14ac:dyDescent="0.2">
      <c r="A110" s="1">
        <v>46200.484230138893</v>
      </c>
      <c r="B110" s="1">
        <v>46202.449152847221</v>
      </c>
      <c r="D110" t="s">
        <v>78</v>
      </c>
      <c r="J110" t="s">
        <v>102</v>
      </c>
      <c r="L110" t="s">
        <v>81</v>
      </c>
      <c r="M110">
        <v>5</v>
      </c>
      <c r="N110">
        <v>0</v>
      </c>
      <c r="O110">
        <v>2</v>
      </c>
      <c r="P110" t="s">
        <v>98</v>
      </c>
      <c r="Q110" t="s">
        <v>78</v>
      </c>
      <c r="R110">
        <v>1</v>
      </c>
      <c r="S110">
        <v>0</v>
      </c>
      <c r="T110" t="s">
        <v>456</v>
      </c>
      <c r="U110" t="s">
        <v>80</v>
      </c>
      <c r="W110">
        <v>2000</v>
      </c>
      <c r="X110">
        <v>2500</v>
      </c>
      <c r="Z110" t="s">
        <v>81</v>
      </c>
      <c r="BP110">
        <v>795196018</v>
      </c>
      <c r="BQ110" t="s">
        <v>457</v>
      </c>
      <c r="BR110" s="1">
        <v>46202.220543981479</v>
      </c>
      <c r="BU110" t="s">
        <v>86</v>
      </c>
      <c r="BW110" t="s">
        <v>279</v>
      </c>
      <c r="BY110" t="s">
        <v>458</v>
      </c>
      <c r="BZ110">
        <v>109</v>
      </c>
    </row>
    <row r="111" spans="1:78" x14ac:dyDescent="0.2">
      <c r="A111" s="1">
        <v>46202.441130636573</v>
      </c>
      <c r="B111" s="1">
        <v>46202.450508425929</v>
      </c>
      <c r="D111" t="s">
        <v>78</v>
      </c>
      <c r="J111" t="s">
        <v>102</v>
      </c>
      <c r="L111" t="s">
        <v>78</v>
      </c>
      <c r="M111">
        <v>2</v>
      </c>
      <c r="O111">
        <v>2</v>
      </c>
      <c r="P111" t="s">
        <v>81</v>
      </c>
      <c r="Q111" t="s">
        <v>78</v>
      </c>
      <c r="R111">
        <v>1</v>
      </c>
      <c r="S111">
        <v>0</v>
      </c>
      <c r="W111">
        <v>900</v>
      </c>
      <c r="X111">
        <v>900</v>
      </c>
      <c r="Z111" t="s">
        <v>81</v>
      </c>
      <c r="BP111">
        <v>795196695</v>
      </c>
      <c r="BQ111" t="s">
        <v>459</v>
      </c>
      <c r="BR111" s="1">
        <v>46202.221354166657</v>
      </c>
      <c r="BU111" t="s">
        <v>86</v>
      </c>
      <c r="BW111" t="s">
        <v>279</v>
      </c>
      <c r="BY111" t="s">
        <v>460</v>
      </c>
      <c r="BZ111">
        <v>110</v>
      </c>
    </row>
    <row r="112" spans="1:78" x14ac:dyDescent="0.2">
      <c r="A112" s="1">
        <v>46202.452705115742</v>
      </c>
      <c r="B112" s="1">
        <v>46202.454983437499</v>
      </c>
      <c r="D112" t="s">
        <v>78</v>
      </c>
      <c r="E112" t="s">
        <v>461</v>
      </c>
      <c r="F112">
        <v>29.375633000000001</v>
      </c>
      <c r="G112">
        <v>79.464320999999998</v>
      </c>
      <c r="H112">
        <v>1874.6169162172009</v>
      </c>
      <c r="I112">
        <v>31.440000534057621</v>
      </c>
      <c r="J112" t="s">
        <v>97</v>
      </c>
      <c r="L112" t="s">
        <v>78</v>
      </c>
      <c r="M112">
        <v>2</v>
      </c>
      <c r="N112">
        <v>2</v>
      </c>
      <c r="O112">
        <v>2</v>
      </c>
      <c r="P112" t="s">
        <v>81</v>
      </c>
      <c r="Q112" t="s">
        <v>78</v>
      </c>
      <c r="R112">
        <v>1</v>
      </c>
      <c r="S112">
        <v>0</v>
      </c>
      <c r="T112" t="s">
        <v>462</v>
      </c>
      <c r="U112" t="s">
        <v>80</v>
      </c>
      <c r="W112">
        <v>700</v>
      </c>
      <c r="X112">
        <v>400</v>
      </c>
      <c r="Z112" t="s">
        <v>81</v>
      </c>
      <c r="AA112" t="s">
        <v>81</v>
      </c>
      <c r="AE112">
        <v>50</v>
      </c>
      <c r="AF112" t="s">
        <v>92</v>
      </c>
      <c r="AH112" t="s">
        <v>463</v>
      </c>
      <c r="AI112">
        <v>0</v>
      </c>
      <c r="AJ112">
        <v>1</v>
      </c>
      <c r="AK112">
        <v>0</v>
      </c>
      <c r="AL112">
        <v>0</v>
      </c>
      <c r="AM112">
        <v>0</v>
      </c>
      <c r="AN112">
        <v>0</v>
      </c>
      <c r="BP112">
        <v>795200385</v>
      </c>
      <c r="BQ112" t="s">
        <v>464</v>
      </c>
      <c r="BR112" s="1">
        <v>46202.225821759261</v>
      </c>
      <c r="BU112" t="s">
        <v>86</v>
      </c>
      <c r="BW112" t="s">
        <v>279</v>
      </c>
      <c r="BY112" t="s">
        <v>465</v>
      </c>
      <c r="BZ112">
        <v>111</v>
      </c>
    </row>
    <row r="113" spans="1:78" x14ac:dyDescent="0.2">
      <c r="A113" s="1">
        <v>46202.456795127313</v>
      </c>
      <c r="B113" s="1">
        <v>46202.458793564823</v>
      </c>
      <c r="D113" t="s">
        <v>78</v>
      </c>
      <c r="E113" t="s">
        <v>466</v>
      </c>
      <c r="F113">
        <v>29.378140999999999</v>
      </c>
      <c r="G113">
        <v>79.464651000000003</v>
      </c>
      <c r="H113">
        <v>1929.5186724739169</v>
      </c>
      <c r="I113">
        <v>22.103599945215489</v>
      </c>
      <c r="J113" t="s">
        <v>97</v>
      </c>
      <c r="L113" t="s">
        <v>78</v>
      </c>
      <c r="M113">
        <v>1</v>
      </c>
      <c r="N113">
        <v>0</v>
      </c>
      <c r="O113">
        <v>1</v>
      </c>
      <c r="P113" t="s">
        <v>81</v>
      </c>
      <c r="Q113" t="s">
        <v>78</v>
      </c>
      <c r="R113">
        <v>1</v>
      </c>
      <c r="S113">
        <v>0</v>
      </c>
      <c r="U113" t="s">
        <v>80</v>
      </c>
      <c r="W113">
        <v>2500</v>
      </c>
      <c r="X113">
        <v>2500</v>
      </c>
      <c r="Z113" t="s">
        <v>81</v>
      </c>
      <c r="AA113" t="s">
        <v>81</v>
      </c>
      <c r="AE113">
        <v>500</v>
      </c>
      <c r="AF113" t="s">
        <v>92</v>
      </c>
      <c r="AH113" t="s">
        <v>83</v>
      </c>
      <c r="AI113">
        <v>1</v>
      </c>
      <c r="AJ113">
        <v>0</v>
      </c>
      <c r="AK113">
        <v>0</v>
      </c>
      <c r="AL113">
        <v>0</v>
      </c>
      <c r="AM113">
        <v>200</v>
      </c>
      <c r="AN113">
        <v>1000</v>
      </c>
      <c r="BP113">
        <v>795203459</v>
      </c>
      <c r="BQ113" t="s">
        <v>467</v>
      </c>
      <c r="BR113" s="1">
        <v>46202.229629629634</v>
      </c>
      <c r="BU113" t="s">
        <v>86</v>
      </c>
      <c r="BW113" t="s">
        <v>279</v>
      </c>
      <c r="BY113" t="s">
        <v>468</v>
      </c>
      <c r="BZ113">
        <v>112</v>
      </c>
    </row>
    <row r="114" spans="1:78" x14ac:dyDescent="0.2">
      <c r="A114" s="1">
        <v>46202.435232824071</v>
      </c>
      <c r="B114" s="1">
        <v>46202.462232141203</v>
      </c>
      <c r="D114" t="s">
        <v>78</v>
      </c>
      <c r="E114" t="s">
        <v>469</v>
      </c>
      <c r="F114">
        <v>29.391736000000002</v>
      </c>
      <c r="G114">
        <v>79.455787000000001</v>
      </c>
      <c r="H114">
        <v>1908.900024414062</v>
      </c>
      <c r="I114">
        <v>18.596000671386719</v>
      </c>
      <c r="J114" t="s">
        <v>102</v>
      </c>
      <c r="L114" t="s">
        <v>78</v>
      </c>
      <c r="M114">
        <v>2</v>
      </c>
      <c r="N114">
        <v>0</v>
      </c>
      <c r="O114">
        <v>2</v>
      </c>
      <c r="P114" t="s">
        <v>81</v>
      </c>
      <c r="Q114" t="s">
        <v>78</v>
      </c>
      <c r="R114">
        <v>1</v>
      </c>
      <c r="S114">
        <v>0</v>
      </c>
      <c r="T114" t="s">
        <v>190</v>
      </c>
      <c r="U114" t="s">
        <v>80</v>
      </c>
      <c r="W114">
        <v>25000</v>
      </c>
      <c r="X114">
        <v>25000</v>
      </c>
      <c r="Z114" t="s">
        <v>81</v>
      </c>
      <c r="AF114" t="s">
        <v>82</v>
      </c>
      <c r="BP114">
        <v>795206197</v>
      </c>
      <c r="BQ114" t="s">
        <v>470</v>
      </c>
      <c r="BR114" s="1">
        <v>46202.233067129629</v>
      </c>
      <c r="BU114" t="s">
        <v>86</v>
      </c>
      <c r="BW114" t="s">
        <v>279</v>
      </c>
      <c r="BY114" t="s">
        <v>471</v>
      </c>
      <c r="BZ114">
        <v>113</v>
      </c>
    </row>
    <row r="115" spans="1:78" x14ac:dyDescent="0.2">
      <c r="A115" s="1">
        <v>46202.450508912043</v>
      </c>
      <c r="B115" s="1">
        <v>46202.466625243047</v>
      </c>
      <c r="D115" t="s">
        <v>78</v>
      </c>
      <c r="J115" t="s">
        <v>102</v>
      </c>
      <c r="L115" t="s">
        <v>78</v>
      </c>
      <c r="P115" t="s">
        <v>81</v>
      </c>
      <c r="Q115" t="s">
        <v>78</v>
      </c>
      <c r="R115">
        <v>1</v>
      </c>
      <c r="S115">
        <v>0</v>
      </c>
      <c r="W115">
        <v>500</v>
      </c>
      <c r="X115">
        <v>400</v>
      </c>
      <c r="Z115" t="s">
        <v>81</v>
      </c>
      <c r="BP115">
        <v>795210024</v>
      </c>
      <c r="BQ115" t="s">
        <v>472</v>
      </c>
      <c r="BR115" s="1">
        <v>46202.23746527778</v>
      </c>
      <c r="BU115" t="s">
        <v>86</v>
      </c>
      <c r="BW115" t="s">
        <v>279</v>
      </c>
      <c r="BY115" t="s">
        <v>473</v>
      </c>
      <c r="BZ115">
        <v>114</v>
      </c>
    </row>
    <row r="116" spans="1:78" x14ac:dyDescent="0.2">
      <c r="A116" s="1">
        <v>46202.466625706023</v>
      </c>
      <c r="B116" s="1">
        <v>46202.473674652778</v>
      </c>
      <c r="D116" t="s">
        <v>78</v>
      </c>
      <c r="J116" t="s">
        <v>102</v>
      </c>
      <c r="L116" t="s">
        <v>78</v>
      </c>
      <c r="M116">
        <v>2</v>
      </c>
      <c r="N116">
        <v>0</v>
      </c>
      <c r="O116">
        <v>3</v>
      </c>
      <c r="P116" t="s">
        <v>81</v>
      </c>
      <c r="Q116" t="s">
        <v>78</v>
      </c>
      <c r="R116">
        <v>1</v>
      </c>
      <c r="S116">
        <v>0</v>
      </c>
      <c r="W116">
        <v>3500</v>
      </c>
      <c r="X116">
        <v>3000</v>
      </c>
      <c r="Z116" t="s">
        <v>81</v>
      </c>
      <c r="BP116">
        <v>795217087</v>
      </c>
      <c r="BQ116" t="s">
        <v>474</v>
      </c>
      <c r="BR116" s="1">
        <v>46202.244525462957</v>
      </c>
      <c r="BU116" t="s">
        <v>86</v>
      </c>
      <c r="BW116" t="s">
        <v>279</v>
      </c>
      <c r="BY116" t="s">
        <v>475</v>
      </c>
      <c r="BZ116">
        <v>115</v>
      </c>
    </row>
    <row r="117" spans="1:78" x14ac:dyDescent="0.2">
      <c r="A117" s="1">
        <v>46202.473675393521</v>
      </c>
      <c r="B117" s="1">
        <v>46202.47373302083</v>
      </c>
      <c r="BP117">
        <v>795217139</v>
      </c>
      <c r="BQ117" t="s">
        <v>476</v>
      </c>
      <c r="BR117" s="1">
        <v>46202.244583333333</v>
      </c>
      <c r="BU117" t="s">
        <v>86</v>
      </c>
      <c r="BW117" t="s">
        <v>279</v>
      </c>
      <c r="BY117" t="s">
        <v>477</v>
      </c>
      <c r="BZ117">
        <v>116</v>
      </c>
    </row>
    <row r="118" spans="1:78" x14ac:dyDescent="0.2">
      <c r="A118" s="1">
        <v>46202.473733749997</v>
      </c>
      <c r="B118" s="1">
        <v>46202.473866805558</v>
      </c>
      <c r="BP118">
        <v>795217265</v>
      </c>
      <c r="BQ118" t="s">
        <v>478</v>
      </c>
      <c r="BR118" s="1">
        <v>46202.244722222233</v>
      </c>
      <c r="BU118" t="s">
        <v>86</v>
      </c>
      <c r="BW118" t="s">
        <v>279</v>
      </c>
      <c r="BY118" t="s">
        <v>479</v>
      </c>
      <c r="BZ118">
        <v>117</v>
      </c>
    </row>
    <row r="119" spans="1:78" x14ac:dyDescent="0.2">
      <c r="A119" s="1">
        <v>46202.454983796299</v>
      </c>
      <c r="B119" s="1">
        <v>46202.48127517361</v>
      </c>
      <c r="D119" t="s">
        <v>78</v>
      </c>
      <c r="E119" t="s">
        <v>480</v>
      </c>
      <c r="F119">
        <v>29.378187</v>
      </c>
      <c r="G119">
        <v>79.464168999999998</v>
      </c>
      <c r="H119">
        <v>1900.300048828125</v>
      </c>
      <c r="I119">
        <v>10.592000007629389</v>
      </c>
      <c r="J119" t="s">
        <v>89</v>
      </c>
      <c r="K119" t="s">
        <v>481</v>
      </c>
      <c r="L119" t="s">
        <v>78</v>
      </c>
      <c r="M119">
        <v>2</v>
      </c>
      <c r="N119">
        <v>2</v>
      </c>
      <c r="O119">
        <v>2</v>
      </c>
      <c r="P119" t="s">
        <v>81</v>
      </c>
      <c r="Q119" t="s">
        <v>78</v>
      </c>
      <c r="R119">
        <v>1</v>
      </c>
      <c r="S119">
        <v>0</v>
      </c>
      <c r="T119" t="s">
        <v>304</v>
      </c>
      <c r="U119" t="s">
        <v>80</v>
      </c>
      <c r="W119">
        <v>750</v>
      </c>
      <c r="X119">
        <v>550</v>
      </c>
      <c r="Z119" t="s">
        <v>81</v>
      </c>
      <c r="AF119" t="s">
        <v>142</v>
      </c>
      <c r="BP119">
        <v>795224470</v>
      </c>
      <c r="BQ119" t="s">
        <v>482</v>
      </c>
      <c r="BR119" s="1">
        <v>46202.252118055563</v>
      </c>
      <c r="BU119" t="s">
        <v>86</v>
      </c>
      <c r="BW119" t="s">
        <v>279</v>
      </c>
      <c r="BY119" t="s">
        <v>483</v>
      </c>
      <c r="BZ119">
        <v>118</v>
      </c>
    </row>
    <row r="120" spans="1:78" x14ac:dyDescent="0.2">
      <c r="A120" s="1">
        <v>46202.479622013889</v>
      </c>
      <c r="B120" s="1">
        <v>46202.484151099539</v>
      </c>
      <c r="D120" t="s">
        <v>78</v>
      </c>
      <c r="E120" t="s">
        <v>484</v>
      </c>
      <c r="F120">
        <v>29.392510999999999</v>
      </c>
      <c r="G120">
        <v>79.455614999999995</v>
      </c>
      <c r="H120">
        <v>1923.900024414062</v>
      </c>
      <c r="I120">
        <v>23.482999801635739</v>
      </c>
      <c r="J120" t="s">
        <v>106</v>
      </c>
      <c r="L120" t="s">
        <v>78</v>
      </c>
      <c r="M120">
        <v>8</v>
      </c>
      <c r="N120">
        <v>10</v>
      </c>
      <c r="O120">
        <v>8</v>
      </c>
      <c r="P120" t="s">
        <v>81</v>
      </c>
      <c r="Q120" t="s">
        <v>78</v>
      </c>
      <c r="R120">
        <v>1</v>
      </c>
      <c r="S120">
        <v>0</v>
      </c>
      <c r="T120" t="s">
        <v>485</v>
      </c>
      <c r="U120" t="s">
        <v>80</v>
      </c>
      <c r="W120">
        <v>20000</v>
      </c>
      <c r="X120">
        <v>15000</v>
      </c>
      <c r="Z120" t="s">
        <v>81</v>
      </c>
      <c r="AA120" t="s">
        <v>78</v>
      </c>
      <c r="AB120">
        <v>18</v>
      </c>
      <c r="AC120">
        <v>36</v>
      </c>
      <c r="AD120" t="s">
        <v>81</v>
      </c>
      <c r="AE120">
        <v>1000</v>
      </c>
      <c r="AF120" t="s">
        <v>92</v>
      </c>
      <c r="AH120" t="s">
        <v>83</v>
      </c>
      <c r="AI120">
        <v>1</v>
      </c>
      <c r="AJ120">
        <v>0</v>
      </c>
      <c r="AK120">
        <v>0</v>
      </c>
      <c r="AL120">
        <v>0</v>
      </c>
      <c r="AM120">
        <v>100000</v>
      </c>
      <c r="AN120">
        <v>0</v>
      </c>
      <c r="BP120">
        <v>795227902</v>
      </c>
      <c r="BQ120" t="s">
        <v>486</v>
      </c>
      <c r="BR120" s="1">
        <v>46202.254988425928</v>
      </c>
      <c r="BU120" t="s">
        <v>86</v>
      </c>
      <c r="BW120" t="s">
        <v>279</v>
      </c>
      <c r="BY120" t="s">
        <v>487</v>
      </c>
      <c r="BZ120">
        <v>119</v>
      </c>
    </row>
    <row r="121" spans="1:78" x14ac:dyDescent="0.2">
      <c r="A121" s="1">
        <v>46202.481275474544</v>
      </c>
      <c r="B121" s="1">
        <v>46202.486352581021</v>
      </c>
      <c r="D121" t="s">
        <v>78</v>
      </c>
      <c r="E121" t="s">
        <v>488</v>
      </c>
      <c r="F121">
        <v>29.378039999999999</v>
      </c>
      <c r="G121">
        <v>79.464099000000004</v>
      </c>
      <c r="H121">
        <v>1900.699951171875</v>
      </c>
      <c r="I121">
        <v>24.097000122070309</v>
      </c>
      <c r="J121" t="s">
        <v>89</v>
      </c>
      <c r="K121" t="s">
        <v>489</v>
      </c>
      <c r="L121" t="s">
        <v>78</v>
      </c>
      <c r="M121">
        <v>1</v>
      </c>
      <c r="N121">
        <v>1</v>
      </c>
      <c r="O121">
        <v>1</v>
      </c>
      <c r="P121" t="s">
        <v>81</v>
      </c>
      <c r="Q121" t="s">
        <v>78</v>
      </c>
      <c r="R121">
        <v>1</v>
      </c>
      <c r="S121">
        <v>0</v>
      </c>
      <c r="U121" t="s">
        <v>80</v>
      </c>
      <c r="W121">
        <v>300</v>
      </c>
      <c r="X121">
        <v>300</v>
      </c>
      <c r="Z121" t="s">
        <v>81</v>
      </c>
      <c r="AF121" t="s">
        <v>92</v>
      </c>
      <c r="BP121">
        <v>795230193</v>
      </c>
      <c r="BQ121" t="s">
        <v>490</v>
      </c>
      <c r="BR121" s="1">
        <v>46202.257187499999</v>
      </c>
      <c r="BU121" t="s">
        <v>86</v>
      </c>
      <c r="BW121" t="s">
        <v>279</v>
      </c>
      <c r="BY121" t="s">
        <v>491</v>
      </c>
      <c r="BZ121">
        <v>120</v>
      </c>
    </row>
    <row r="122" spans="1:78" x14ac:dyDescent="0.2">
      <c r="A122" s="1">
        <v>46198.427111840283</v>
      </c>
      <c r="B122" s="1">
        <v>46202.487733344897</v>
      </c>
      <c r="D122" t="s">
        <v>78</v>
      </c>
      <c r="J122" t="s">
        <v>106</v>
      </c>
      <c r="L122" t="s">
        <v>78</v>
      </c>
      <c r="M122">
        <v>8</v>
      </c>
      <c r="N122">
        <v>0</v>
      </c>
      <c r="O122">
        <v>0</v>
      </c>
      <c r="P122" t="s">
        <v>98</v>
      </c>
      <c r="Q122" t="s">
        <v>78</v>
      </c>
      <c r="R122">
        <v>1</v>
      </c>
      <c r="S122">
        <v>0</v>
      </c>
      <c r="T122" t="s">
        <v>492</v>
      </c>
      <c r="U122" t="s">
        <v>80</v>
      </c>
      <c r="W122">
        <v>22500</v>
      </c>
      <c r="X122">
        <v>12500</v>
      </c>
      <c r="Y122" t="s">
        <v>81</v>
      </c>
      <c r="AA122" t="s">
        <v>78</v>
      </c>
      <c r="AD122" t="s">
        <v>78</v>
      </c>
      <c r="AE122">
        <v>10000</v>
      </c>
      <c r="AF122" t="s">
        <v>82</v>
      </c>
      <c r="AH122" t="s">
        <v>83</v>
      </c>
      <c r="AI122">
        <v>1</v>
      </c>
      <c r="AJ122">
        <v>0</v>
      </c>
      <c r="AK122">
        <v>0</v>
      </c>
      <c r="AL122">
        <v>0</v>
      </c>
      <c r="AU122" t="s">
        <v>493</v>
      </c>
      <c r="AY122" t="s">
        <v>116</v>
      </c>
      <c r="AZ122">
        <v>0</v>
      </c>
      <c r="BA122">
        <v>0</v>
      </c>
      <c r="BB122">
        <v>1</v>
      </c>
      <c r="BC122">
        <v>0</v>
      </c>
      <c r="BG122" t="s">
        <v>81</v>
      </c>
      <c r="BI122" t="s">
        <v>78</v>
      </c>
      <c r="BP122">
        <v>795231657</v>
      </c>
      <c r="BQ122" t="s">
        <v>494</v>
      </c>
      <c r="BR122" s="1">
        <v>46202.258715277778</v>
      </c>
      <c r="BU122" t="s">
        <v>86</v>
      </c>
      <c r="BW122" t="s">
        <v>87</v>
      </c>
      <c r="BY122" t="s">
        <v>495</v>
      </c>
      <c r="BZ122">
        <v>121</v>
      </c>
    </row>
    <row r="123" spans="1:78" x14ac:dyDescent="0.2">
      <c r="A123" s="1">
        <v>46202.484151655102</v>
      </c>
      <c r="B123" s="1">
        <v>46202.489919421299</v>
      </c>
      <c r="D123" t="s">
        <v>78</v>
      </c>
      <c r="E123" t="s">
        <v>496</v>
      </c>
      <c r="F123">
        <v>29.392520000000001</v>
      </c>
      <c r="G123">
        <v>79.455520000000007</v>
      </c>
      <c r="H123">
        <v>1924</v>
      </c>
      <c r="I123">
        <v>100</v>
      </c>
      <c r="J123" t="s">
        <v>106</v>
      </c>
      <c r="L123" t="s">
        <v>81</v>
      </c>
      <c r="M123">
        <v>4</v>
      </c>
      <c r="N123">
        <v>4</v>
      </c>
      <c r="O123">
        <v>3</v>
      </c>
      <c r="P123" t="s">
        <v>81</v>
      </c>
      <c r="Q123" t="s">
        <v>78</v>
      </c>
      <c r="R123">
        <v>1</v>
      </c>
      <c r="S123">
        <v>0</v>
      </c>
      <c r="T123" t="s">
        <v>190</v>
      </c>
      <c r="U123" t="s">
        <v>80</v>
      </c>
      <c r="W123">
        <v>15000</v>
      </c>
      <c r="X123">
        <v>12000</v>
      </c>
      <c r="Z123" t="s">
        <v>81</v>
      </c>
      <c r="AA123" t="s">
        <v>81</v>
      </c>
      <c r="AB123">
        <v>16</v>
      </c>
      <c r="AC123">
        <v>35</v>
      </c>
      <c r="AD123" t="s">
        <v>81</v>
      </c>
      <c r="AE123">
        <v>8000</v>
      </c>
      <c r="AF123" t="s">
        <v>142</v>
      </c>
      <c r="AG123" t="s">
        <v>497</v>
      </c>
      <c r="AH123" t="s">
        <v>83</v>
      </c>
      <c r="AI123">
        <v>1</v>
      </c>
      <c r="AJ123">
        <v>0</v>
      </c>
      <c r="AK123">
        <v>0</v>
      </c>
      <c r="AL123">
        <v>0</v>
      </c>
      <c r="AM123">
        <v>55000</v>
      </c>
      <c r="AN123">
        <v>0</v>
      </c>
      <c r="BP123">
        <v>795234422</v>
      </c>
      <c r="BQ123" t="s">
        <v>498</v>
      </c>
      <c r="BR123" s="1">
        <v>46202.260879629634</v>
      </c>
      <c r="BU123" t="s">
        <v>86</v>
      </c>
      <c r="BW123" t="s">
        <v>279</v>
      </c>
      <c r="BY123" t="s">
        <v>499</v>
      </c>
      <c r="BZ123">
        <v>122</v>
      </c>
    </row>
    <row r="124" spans="1:78" x14ac:dyDescent="0.2">
      <c r="A124" s="1">
        <v>46202.486353009263</v>
      </c>
      <c r="B124" s="1">
        <v>46202.490408541657</v>
      </c>
      <c r="D124" t="s">
        <v>78</v>
      </c>
      <c r="E124" t="s">
        <v>500</v>
      </c>
      <c r="F124">
        <v>29.378336000000001</v>
      </c>
      <c r="G124">
        <v>79.464140999999998</v>
      </c>
      <c r="H124">
        <v>1901.5</v>
      </c>
      <c r="I124">
        <v>11.496999740600589</v>
      </c>
      <c r="J124" t="s">
        <v>89</v>
      </c>
      <c r="L124" t="s">
        <v>78</v>
      </c>
      <c r="M124">
        <v>1</v>
      </c>
      <c r="N124">
        <v>1</v>
      </c>
      <c r="O124">
        <v>1</v>
      </c>
      <c r="P124" t="s">
        <v>81</v>
      </c>
      <c r="Q124" t="s">
        <v>78</v>
      </c>
      <c r="R124">
        <v>1</v>
      </c>
      <c r="S124">
        <v>0</v>
      </c>
      <c r="U124" t="s">
        <v>80</v>
      </c>
      <c r="W124">
        <v>0</v>
      </c>
      <c r="X124">
        <v>0</v>
      </c>
      <c r="Z124" t="s">
        <v>81</v>
      </c>
      <c r="AF124" t="s">
        <v>92</v>
      </c>
      <c r="BP124">
        <v>795234879</v>
      </c>
      <c r="BQ124" t="s">
        <v>501</v>
      </c>
      <c r="BR124" s="1">
        <v>46202.261250000003</v>
      </c>
      <c r="BU124" t="s">
        <v>86</v>
      </c>
      <c r="BW124" t="s">
        <v>279</v>
      </c>
      <c r="BY124" t="s">
        <v>502</v>
      </c>
      <c r="BZ124">
        <v>123</v>
      </c>
    </row>
    <row r="125" spans="1:78" x14ac:dyDescent="0.2">
      <c r="A125" s="1">
        <v>46202.490408819453</v>
      </c>
      <c r="B125" s="1">
        <v>46202.498748368052</v>
      </c>
      <c r="D125" t="s">
        <v>78</v>
      </c>
      <c r="E125" t="s">
        <v>503</v>
      </c>
      <c r="F125">
        <v>29.378557000000001</v>
      </c>
      <c r="G125">
        <v>79.464023999999995</v>
      </c>
      <c r="H125">
        <v>1902.099975585938</v>
      </c>
      <c r="I125">
        <v>12.717000007629389</v>
      </c>
      <c r="L125" t="s">
        <v>78</v>
      </c>
      <c r="M125">
        <v>2</v>
      </c>
      <c r="N125">
        <v>2</v>
      </c>
      <c r="O125">
        <v>2</v>
      </c>
      <c r="P125" t="s">
        <v>81</v>
      </c>
      <c r="Q125" t="s">
        <v>78</v>
      </c>
      <c r="R125">
        <v>1</v>
      </c>
      <c r="S125">
        <v>0</v>
      </c>
      <c r="U125" t="s">
        <v>80</v>
      </c>
      <c r="Z125" t="s">
        <v>81</v>
      </c>
      <c r="AF125" t="s">
        <v>92</v>
      </c>
      <c r="BP125">
        <v>795245602</v>
      </c>
      <c r="BQ125" t="s">
        <v>504</v>
      </c>
      <c r="BR125" s="1">
        <v>46202.269583333327</v>
      </c>
      <c r="BU125" t="s">
        <v>86</v>
      </c>
      <c r="BW125" t="s">
        <v>279</v>
      </c>
      <c r="BY125" t="s">
        <v>505</v>
      </c>
      <c r="BZ125">
        <v>124</v>
      </c>
    </row>
    <row r="126" spans="1:78" x14ac:dyDescent="0.2">
      <c r="A126" s="1">
        <v>46202.498748796294</v>
      </c>
      <c r="B126" s="1">
        <v>46202.503959374997</v>
      </c>
      <c r="D126" t="s">
        <v>78</v>
      </c>
      <c r="E126" t="s">
        <v>506</v>
      </c>
      <c r="F126">
        <v>29.378639</v>
      </c>
      <c r="G126">
        <v>79.464008000000007</v>
      </c>
      <c r="H126">
        <v>1903.8300739078941</v>
      </c>
      <c r="I126">
        <v>15.75100040435791</v>
      </c>
      <c r="J126" t="s">
        <v>102</v>
      </c>
      <c r="L126" t="s">
        <v>78</v>
      </c>
      <c r="M126">
        <v>1</v>
      </c>
      <c r="N126">
        <v>1</v>
      </c>
      <c r="O126">
        <v>1</v>
      </c>
      <c r="P126" t="s">
        <v>81</v>
      </c>
      <c r="Q126" t="s">
        <v>78</v>
      </c>
      <c r="R126">
        <v>1</v>
      </c>
      <c r="S126">
        <v>0</v>
      </c>
      <c r="U126" t="s">
        <v>80</v>
      </c>
      <c r="W126">
        <v>500</v>
      </c>
      <c r="X126">
        <v>500</v>
      </c>
      <c r="Z126" t="s">
        <v>81</v>
      </c>
      <c r="AF126" t="s">
        <v>92</v>
      </c>
      <c r="BP126">
        <v>795253088</v>
      </c>
      <c r="BQ126" t="s">
        <v>507</v>
      </c>
      <c r="BR126" s="1">
        <v>46202.27480324074</v>
      </c>
      <c r="BU126" t="s">
        <v>86</v>
      </c>
      <c r="BW126" t="s">
        <v>279</v>
      </c>
      <c r="BY126" t="s">
        <v>508</v>
      </c>
      <c r="BZ126">
        <v>125</v>
      </c>
    </row>
    <row r="127" spans="1:78" x14ac:dyDescent="0.2">
      <c r="A127" s="1">
        <v>46202.503959618058</v>
      </c>
      <c r="B127" s="1">
        <v>46202.50749689815</v>
      </c>
      <c r="D127" t="s">
        <v>78</v>
      </c>
      <c r="E127" t="s">
        <v>509</v>
      </c>
      <c r="F127">
        <v>29.378579999999999</v>
      </c>
      <c r="G127">
        <v>79.464010000000002</v>
      </c>
      <c r="H127">
        <v>1902.099975585938</v>
      </c>
      <c r="I127">
        <v>11.52999973297119</v>
      </c>
      <c r="J127" t="s">
        <v>102</v>
      </c>
      <c r="L127" t="s">
        <v>78</v>
      </c>
      <c r="M127">
        <v>4</v>
      </c>
      <c r="O127">
        <v>4</v>
      </c>
      <c r="P127" t="s">
        <v>81</v>
      </c>
      <c r="Q127" t="s">
        <v>78</v>
      </c>
      <c r="R127">
        <v>1</v>
      </c>
      <c r="S127">
        <v>0</v>
      </c>
      <c r="U127" t="s">
        <v>80</v>
      </c>
      <c r="W127">
        <v>1200</v>
      </c>
      <c r="X127">
        <v>3000</v>
      </c>
      <c r="Z127" t="s">
        <v>81</v>
      </c>
      <c r="AF127" t="s">
        <v>82</v>
      </c>
      <c r="BP127">
        <v>795258531</v>
      </c>
      <c r="BQ127" t="s">
        <v>510</v>
      </c>
      <c r="BR127" s="1">
        <v>46202.278344907398</v>
      </c>
      <c r="BU127" t="s">
        <v>86</v>
      </c>
      <c r="BW127" t="s">
        <v>279</v>
      </c>
      <c r="BY127" t="s">
        <v>511</v>
      </c>
      <c r="BZ127">
        <v>126</v>
      </c>
    </row>
    <row r="128" spans="1:78" x14ac:dyDescent="0.2">
      <c r="A128" s="1">
        <v>46202.494809884258</v>
      </c>
      <c r="B128" s="1">
        <v>46202.508822129632</v>
      </c>
      <c r="D128" t="s">
        <v>78</v>
      </c>
      <c r="E128" t="s">
        <v>512</v>
      </c>
      <c r="F128">
        <v>29.392536</v>
      </c>
      <c r="G128">
        <v>79.455375000000004</v>
      </c>
      <c r="H128">
        <v>1924.099975585938</v>
      </c>
      <c r="I128">
        <v>15.0620002746582</v>
      </c>
      <c r="J128" t="s">
        <v>106</v>
      </c>
      <c r="L128" t="s">
        <v>78</v>
      </c>
      <c r="M128">
        <v>7</v>
      </c>
      <c r="N128">
        <v>7</v>
      </c>
      <c r="O128">
        <v>1</v>
      </c>
      <c r="P128" t="s">
        <v>81</v>
      </c>
      <c r="Q128" t="s">
        <v>78</v>
      </c>
      <c r="R128">
        <v>1</v>
      </c>
      <c r="S128">
        <v>0</v>
      </c>
      <c r="T128" t="s">
        <v>513</v>
      </c>
      <c r="U128" t="s">
        <v>80</v>
      </c>
      <c r="W128">
        <v>25000</v>
      </c>
      <c r="X128">
        <v>15000</v>
      </c>
      <c r="Z128" t="s">
        <v>81</v>
      </c>
      <c r="AA128" t="s">
        <v>78</v>
      </c>
      <c r="AB128">
        <v>35</v>
      </c>
      <c r="AC128">
        <v>50</v>
      </c>
      <c r="AD128" t="s">
        <v>81</v>
      </c>
      <c r="AE128">
        <v>5000</v>
      </c>
      <c r="AF128" t="s">
        <v>82</v>
      </c>
      <c r="AH128" t="s">
        <v>83</v>
      </c>
      <c r="AI128">
        <v>1</v>
      </c>
      <c r="AJ128">
        <v>0</v>
      </c>
      <c r="AK128">
        <v>0</v>
      </c>
      <c r="AL128">
        <v>0</v>
      </c>
      <c r="AM128">
        <v>500000</v>
      </c>
      <c r="AN128">
        <v>120000</v>
      </c>
      <c r="BP128">
        <v>795260235</v>
      </c>
      <c r="BQ128" t="s">
        <v>514</v>
      </c>
      <c r="BR128" s="1">
        <v>46202.279745370368</v>
      </c>
      <c r="BU128" t="s">
        <v>86</v>
      </c>
      <c r="BW128" t="s">
        <v>279</v>
      </c>
      <c r="BY128" t="s">
        <v>515</v>
      </c>
      <c r="BZ128">
        <v>127</v>
      </c>
    </row>
    <row r="129" spans="1:78" x14ac:dyDescent="0.2">
      <c r="A129" s="1">
        <v>46202.5074971875</v>
      </c>
      <c r="B129" s="1">
        <v>46202.515668333333</v>
      </c>
      <c r="D129" t="s">
        <v>78</v>
      </c>
      <c r="E129" t="s">
        <v>516</v>
      </c>
      <c r="F129">
        <v>29.378712</v>
      </c>
      <c r="G129">
        <v>79.463938999999996</v>
      </c>
      <c r="H129">
        <v>1902.099975585938</v>
      </c>
      <c r="I129">
        <v>14.798000335693359</v>
      </c>
      <c r="L129" t="s">
        <v>78</v>
      </c>
      <c r="M129">
        <v>1</v>
      </c>
      <c r="N129">
        <v>1</v>
      </c>
      <c r="O129">
        <v>1</v>
      </c>
      <c r="Q129" t="s">
        <v>81</v>
      </c>
      <c r="R129">
        <v>0</v>
      </c>
      <c r="S129">
        <v>1</v>
      </c>
      <c r="U129" t="s">
        <v>80</v>
      </c>
      <c r="W129">
        <v>800</v>
      </c>
      <c r="X129">
        <v>1000</v>
      </c>
      <c r="Z129" t="s">
        <v>81</v>
      </c>
      <c r="AF129" t="s">
        <v>82</v>
      </c>
      <c r="BP129">
        <v>795271496</v>
      </c>
      <c r="BQ129" t="s">
        <v>517</v>
      </c>
      <c r="BR129" s="1">
        <v>46202.286504629628</v>
      </c>
      <c r="BU129" t="s">
        <v>86</v>
      </c>
      <c r="BW129" t="s">
        <v>279</v>
      </c>
      <c r="BY129" t="s">
        <v>518</v>
      </c>
      <c r="BZ129">
        <v>128</v>
      </c>
    </row>
    <row r="130" spans="1:78" x14ac:dyDescent="0.2">
      <c r="A130" s="1">
        <v>46202.508823460637</v>
      </c>
      <c r="B130" s="1">
        <v>46202.521577407409</v>
      </c>
      <c r="D130" t="s">
        <v>78</v>
      </c>
      <c r="E130" t="s">
        <v>519</v>
      </c>
      <c r="F130">
        <v>29.392610000000001</v>
      </c>
      <c r="G130">
        <v>79.455858000000006</v>
      </c>
      <c r="H130">
        <v>1928.400024414062</v>
      </c>
      <c r="I130">
        <v>22.5</v>
      </c>
      <c r="J130" t="s">
        <v>106</v>
      </c>
      <c r="L130" t="s">
        <v>81</v>
      </c>
      <c r="M130">
        <v>3</v>
      </c>
      <c r="N130">
        <v>0</v>
      </c>
      <c r="O130">
        <v>0</v>
      </c>
      <c r="P130" t="s">
        <v>81</v>
      </c>
      <c r="Q130" t="s">
        <v>78</v>
      </c>
      <c r="R130">
        <v>1</v>
      </c>
      <c r="S130">
        <v>0</v>
      </c>
      <c r="T130" t="s">
        <v>520</v>
      </c>
      <c r="U130" t="s">
        <v>80</v>
      </c>
      <c r="W130">
        <v>15000</v>
      </c>
      <c r="X130">
        <v>13000</v>
      </c>
      <c r="Z130" t="s">
        <v>81</v>
      </c>
      <c r="AA130" t="s">
        <v>78</v>
      </c>
      <c r="AB130">
        <v>11</v>
      </c>
      <c r="AC130">
        <v>25</v>
      </c>
      <c r="AD130" t="s">
        <v>81</v>
      </c>
      <c r="AE130">
        <v>8000</v>
      </c>
      <c r="AF130" t="s">
        <v>114</v>
      </c>
      <c r="AG130" t="s">
        <v>521</v>
      </c>
      <c r="AH130" t="s">
        <v>83</v>
      </c>
      <c r="AI130">
        <v>1</v>
      </c>
      <c r="AJ130">
        <v>0</v>
      </c>
      <c r="AK130">
        <v>0</v>
      </c>
      <c r="AL130">
        <v>0</v>
      </c>
      <c r="AM130">
        <v>120000</v>
      </c>
      <c r="AN130">
        <v>80000</v>
      </c>
      <c r="BP130">
        <v>795279644</v>
      </c>
      <c r="BQ130" t="s">
        <v>522</v>
      </c>
      <c r="BR130" s="1">
        <v>46202.29241898148</v>
      </c>
      <c r="BU130" t="s">
        <v>86</v>
      </c>
      <c r="BW130" t="s">
        <v>279</v>
      </c>
      <c r="BY130" t="s">
        <v>523</v>
      </c>
      <c r="BZ130">
        <v>129</v>
      </c>
    </row>
    <row r="131" spans="1:78" x14ac:dyDescent="0.2">
      <c r="A131" s="1">
        <v>46202.449153831018</v>
      </c>
      <c r="B131" s="1">
        <v>46202.522276099538</v>
      </c>
      <c r="D131" t="s">
        <v>78</v>
      </c>
      <c r="E131" t="s">
        <v>524</v>
      </c>
      <c r="F131">
        <v>29.392590999999999</v>
      </c>
      <c r="G131">
        <v>79.452861999999996</v>
      </c>
      <c r="H131">
        <v>1928.900024414062</v>
      </c>
      <c r="I131">
        <v>5.8000001907348633</v>
      </c>
      <c r="J131" t="s">
        <v>102</v>
      </c>
      <c r="L131" t="s">
        <v>78</v>
      </c>
      <c r="M131">
        <v>0</v>
      </c>
      <c r="N131">
        <v>0</v>
      </c>
      <c r="O131">
        <v>0</v>
      </c>
      <c r="P131" t="s">
        <v>81</v>
      </c>
      <c r="Q131" t="s">
        <v>78</v>
      </c>
      <c r="R131">
        <v>1</v>
      </c>
      <c r="S131">
        <v>0</v>
      </c>
      <c r="T131" t="s">
        <v>130</v>
      </c>
      <c r="W131">
        <v>800</v>
      </c>
      <c r="X131">
        <v>500</v>
      </c>
      <c r="Z131" t="s">
        <v>81</v>
      </c>
      <c r="AF131" t="s">
        <v>82</v>
      </c>
      <c r="BP131">
        <v>795280781</v>
      </c>
      <c r="BQ131" t="s">
        <v>525</v>
      </c>
      <c r="BR131" s="1">
        <v>46202.293113425927</v>
      </c>
      <c r="BU131" t="s">
        <v>86</v>
      </c>
      <c r="BW131" t="s">
        <v>279</v>
      </c>
      <c r="BY131" t="s">
        <v>526</v>
      </c>
      <c r="BZ131">
        <v>130</v>
      </c>
    </row>
    <row r="132" spans="1:78" x14ac:dyDescent="0.2">
      <c r="A132" s="1">
        <v>46202.515668645843</v>
      </c>
      <c r="B132" s="1">
        <v>46202.526021712962</v>
      </c>
      <c r="D132" t="s">
        <v>78</v>
      </c>
      <c r="E132" t="s">
        <v>527</v>
      </c>
      <c r="F132">
        <v>29.379010000000001</v>
      </c>
      <c r="G132">
        <v>79.463845000000006</v>
      </c>
      <c r="H132">
        <v>1902.5</v>
      </c>
      <c r="I132">
        <v>10.678000450134279</v>
      </c>
      <c r="L132" t="s">
        <v>78</v>
      </c>
      <c r="M132">
        <v>1</v>
      </c>
      <c r="N132">
        <v>1</v>
      </c>
      <c r="O132">
        <v>1</v>
      </c>
      <c r="P132" t="s">
        <v>81</v>
      </c>
      <c r="Q132" t="s">
        <v>78</v>
      </c>
      <c r="R132">
        <v>1</v>
      </c>
      <c r="S132">
        <v>0</v>
      </c>
      <c r="U132" t="s">
        <v>80</v>
      </c>
      <c r="W132">
        <v>700</v>
      </c>
      <c r="X132">
        <v>700</v>
      </c>
      <c r="Z132" t="s">
        <v>81</v>
      </c>
      <c r="AF132" t="s">
        <v>92</v>
      </c>
      <c r="BP132">
        <v>795286702</v>
      </c>
      <c r="BQ132" t="s">
        <v>528</v>
      </c>
      <c r="BR132" s="1">
        <v>46202.296863425923</v>
      </c>
      <c r="BU132" t="s">
        <v>86</v>
      </c>
      <c r="BW132" t="s">
        <v>279</v>
      </c>
      <c r="BY132" t="s">
        <v>529</v>
      </c>
      <c r="BZ132">
        <v>131</v>
      </c>
    </row>
    <row r="133" spans="1:78" x14ac:dyDescent="0.2">
      <c r="A133" s="1">
        <v>46202.526022025457</v>
      </c>
      <c r="B133" s="1">
        <v>46202.529699247687</v>
      </c>
      <c r="D133" t="s">
        <v>78</v>
      </c>
      <c r="E133" t="s">
        <v>530</v>
      </c>
      <c r="F133">
        <v>29.379062999999999</v>
      </c>
      <c r="G133">
        <v>79.463856000000007</v>
      </c>
      <c r="H133">
        <v>1903</v>
      </c>
      <c r="I133">
        <v>13.76700019836426</v>
      </c>
      <c r="L133" t="s">
        <v>78</v>
      </c>
      <c r="M133">
        <v>2</v>
      </c>
      <c r="N133">
        <v>2</v>
      </c>
      <c r="O133">
        <v>2</v>
      </c>
      <c r="P133" t="s">
        <v>81</v>
      </c>
      <c r="Q133" t="s">
        <v>78</v>
      </c>
      <c r="R133">
        <v>1</v>
      </c>
      <c r="S133">
        <v>0</v>
      </c>
      <c r="U133" t="s">
        <v>80</v>
      </c>
      <c r="W133">
        <v>1400</v>
      </c>
      <c r="X133">
        <v>1400</v>
      </c>
      <c r="Z133" t="s">
        <v>81</v>
      </c>
      <c r="AF133" t="s">
        <v>82</v>
      </c>
      <c r="BP133">
        <v>795293099</v>
      </c>
      <c r="BQ133" t="s">
        <v>531</v>
      </c>
      <c r="BR133" s="1">
        <v>46202.300532407397</v>
      </c>
      <c r="BU133" t="s">
        <v>86</v>
      </c>
      <c r="BW133" t="s">
        <v>279</v>
      </c>
      <c r="BY133" t="s">
        <v>532</v>
      </c>
      <c r="BZ133">
        <v>132</v>
      </c>
    </row>
    <row r="134" spans="1:78" x14ac:dyDescent="0.2">
      <c r="A134" s="1">
        <v>46202.529699537037</v>
      </c>
      <c r="B134" s="1">
        <v>46202.537807256937</v>
      </c>
      <c r="D134" t="s">
        <v>78</v>
      </c>
      <c r="E134" t="s">
        <v>533</v>
      </c>
      <c r="F134">
        <v>29.379062000000001</v>
      </c>
      <c r="G134">
        <v>79.463753999999994</v>
      </c>
      <c r="H134">
        <v>1902.800048828125</v>
      </c>
      <c r="I134">
        <v>15.05700016021729</v>
      </c>
      <c r="J134" t="s">
        <v>102</v>
      </c>
      <c r="L134" t="s">
        <v>78</v>
      </c>
      <c r="M134">
        <v>1</v>
      </c>
      <c r="N134">
        <v>1</v>
      </c>
      <c r="O134">
        <v>1</v>
      </c>
      <c r="P134" t="s">
        <v>81</v>
      </c>
      <c r="Q134" t="s">
        <v>78</v>
      </c>
      <c r="R134">
        <v>1</v>
      </c>
      <c r="S134">
        <v>0</v>
      </c>
      <c r="U134" t="s">
        <v>80</v>
      </c>
      <c r="W134">
        <v>500</v>
      </c>
      <c r="X134">
        <v>500</v>
      </c>
      <c r="Z134" t="s">
        <v>81</v>
      </c>
      <c r="AF134" t="s">
        <v>82</v>
      </c>
      <c r="BP134">
        <v>795305105</v>
      </c>
      <c r="BQ134" t="s">
        <v>534</v>
      </c>
      <c r="BR134" s="1">
        <v>46202.308645833327</v>
      </c>
      <c r="BU134" t="s">
        <v>86</v>
      </c>
      <c r="BW134" t="s">
        <v>279</v>
      </c>
      <c r="BY134" t="s">
        <v>535</v>
      </c>
      <c r="BZ134">
        <v>133</v>
      </c>
    </row>
    <row r="135" spans="1:78" x14ac:dyDescent="0.2">
      <c r="A135" s="1">
        <v>46202.487733738417</v>
      </c>
      <c r="B135" s="1">
        <v>46202.537996527783</v>
      </c>
      <c r="D135" t="s">
        <v>78</v>
      </c>
      <c r="J135" t="s">
        <v>106</v>
      </c>
      <c r="L135" t="s">
        <v>78</v>
      </c>
      <c r="M135">
        <v>23</v>
      </c>
      <c r="N135">
        <v>15</v>
      </c>
      <c r="O135">
        <v>4</v>
      </c>
      <c r="P135" t="s">
        <v>98</v>
      </c>
      <c r="Q135" t="s">
        <v>78</v>
      </c>
      <c r="R135">
        <v>1</v>
      </c>
      <c r="S135">
        <v>0</v>
      </c>
      <c r="T135" t="s">
        <v>536</v>
      </c>
      <c r="U135" t="s">
        <v>80</v>
      </c>
      <c r="Y135" t="s">
        <v>81</v>
      </c>
      <c r="AA135" t="s">
        <v>78</v>
      </c>
      <c r="AD135" t="s">
        <v>78</v>
      </c>
      <c r="AE135">
        <v>125000</v>
      </c>
      <c r="AH135" t="s">
        <v>83</v>
      </c>
      <c r="AI135">
        <v>1</v>
      </c>
      <c r="AJ135">
        <v>0</v>
      </c>
      <c r="AK135">
        <v>0</v>
      </c>
      <c r="AL135">
        <v>0</v>
      </c>
      <c r="AU135" t="s">
        <v>187</v>
      </c>
      <c r="AY135" t="s">
        <v>84</v>
      </c>
      <c r="AZ135">
        <v>1</v>
      </c>
      <c r="BA135">
        <v>0</v>
      </c>
      <c r="BB135">
        <v>1</v>
      </c>
      <c r="BC135">
        <v>0</v>
      </c>
      <c r="BG135" t="s">
        <v>81</v>
      </c>
      <c r="BI135" t="s">
        <v>78</v>
      </c>
      <c r="BP135">
        <v>795305469</v>
      </c>
      <c r="BQ135" t="s">
        <v>537</v>
      </c>
      <c r="BR135" s="1">
        <v>46202.308877314812</v>
      </c>
      <c r="BU135" t="s">
        <v>86</v>
      </c>
      <c r="BW135" t="s">
        <v>87</v>
      </c>
      <c r="BY135" t="s">
        <v>538</v>
      </c>
      <c r="BZ135">
        <v>134</v>
      </c>
    </row>
    <row r="136" spans="1:78" x14ac:dyDescent="0.2">
      <c r="A136" s="1">
        <v>46202.537807546287</v>
      </c>
      <c r="B136" s="1">
        <v>46202.541738043983</v>
      </c>
      <c r="D136" t="s">
        <v>78</v>
      </c>
      <c r="E136" t="s">
        <v>539</v>
      </c>
      <c r="F136">
        <v>29.379193000000001</v>
      </c>
      <c r="G136">
        <v>79.463727000000006</v>
      </c>
      <c r="H136">
        <v>1906.4817373444459</v>
      </c>
      <c r="I136">
        <v>18.194000244140621</v>
      </c>
      <c r="L136" t="s">
        <v>78</v>
      </c>
      <c r="M136">
        <v>1</v>
      </c>
      <c r="N136">
        <v>1</v>
      </c>
      <c r="O136">
        <v>1</v>
      </c>
      <c r="Q136" t="s">
        <v>78</v>
      </c>
      <c r="R136">
        <v>1</v>
      </c>
      <c r="S136">
        <v>0</v>
      </c>
      <c r="U136" t="s">
        <v>80</v>
      </c>
      <c r="W136">
        <v>200</v>
      </c>
      <c r="X136">
        <v>200</v>
      </c>
      <c r="Z136" t="s">
        <v>81</v>
      </c>
      <c r="AF136" t="s">
        <v>82</v>
      </c>
      <c r="BP136">
        <v>795310888</v>
      </c>
      <c r="BQ136" t="s">
        <v>540</v>
      </c>
      <c r="BR136" s="1">
        <v>46202.312569444453</v>
      </c>
      <c r="BU136" t="s">
        <v>86</v>
      </c>
      <c r="BW136" t="s">
        <v>279</v>
      </c>
      <c r="BY136" t="s">
        <v>541</v>
      </c>
      <c r="BZ136">
        <v>135</v>
      </c>
    </row>
    <row r="137" spans="1:78" x14ac:dyDescent="0.2">
      <c r="A137" s="1">
        <v>46202.521577951389</v>
      </c>
      <c r="B137" s="1">
        <v>46202.639955266197</v>
      </c>
      <c r="D137" t="s">
        <v>78</v>
      </c>
      <c r="E137" t="s">
        <v>542</v>
      </c>
      <c r="F137">
        <v>29.390364000000002</v>
      </c>
      <c r="G137">
        <v>79.455095</v>
      </c>
      <c r="H137">
        <v>1900.800048828125</v>
      </c>
      <c r="I137">
        <v>29.83499908447266</v>
      </c>
      <c r="J137" t="s">
        <v>102</v>
      </c>
      <c r="L137" t="s">
        <v>78</v>
      </c>
      <c r="M137">
        <v>1</v>
      </c>
      <c r="N137">
        <v>0</v>
      </c>
      <c r="O137">
        <v>1</v>
      </c>
      <c r="P137" t="s">
        <v>81</v>
      </c>
      <c r="Q137" t="s">
        <v>81</v>
      </c>
      <c r="R137">
        <v>0</v>
      </c>
      <c r="S137">
        <v>1</v>
      </c>
      <c r="T137" t="s">
        <v>190</v>
      </c>
      <c r="W137">
        <v>1000</v>
      </c>
      <c r="X137">
        <v>1000</v>
      </c>
      <c r="Z137" t="s">
        <v>81</v>
      </c>
      <c r="BP137">
        <v>795488595</v>
      </c>
      <c r="BQ137" t="s">
        <v>543</v>
      </c>
      <c r="BR137" s="1">
        <v>46202.410810185182</v>
      </c>
      <c r="BU137" t="s">
        <v>86</v>
      </c>
      <c r="BW137" t="s">
        <v>279</v>
      </c>
      <c r="BY137" t="s">
        <v>544</v>
      </c>
      <c r="BZ137">
        <v>136</v>
      </c>
    </row>
    <row r="138" spans="1:78" x14ac:dyDescent="0.2">
      <c r="A138" s="1">
        <v>46202.835306168978</v>
      </c>
      <c r="B138" s="1">
        <v>46202.83841084491</v>
      </c>
      <c r="D138" t="s">
        <v>78</v>
      </c>
      <c r="J138" t="s">
        <v>106</v>
      </c>
      <c r="L138" t="s">
        <v>78</v>
      </c>
      <c r="M138">
        <v>10</v>
      </c>
      <c r="N138">
        <v>2</v>
      </c>
      <c r="O138">
        <v>6</v>
      </c>
      <c r="P138" t="s">
        <v>81</v>
      </c>
      <c r="Q138" t="s">
        <v>78</v>
      </c>
      <c r="R138">
        <v>1</v>
      </c>
      <c r="S138">
        <v>0</v>
      </c>
      <c r="T138" t="s">
        <v>545</v>
      </c>
      <c r="U138" t="s">
        <v>80</v>
      </c>
      <c r="W138">
        <v>10000</v>
      </c>
      <c r="X138">
        <v>7000</v>
      </c>
      <c r="Z138" t="s">
        <v>81</v>
      </c>
      <c r="AA138" t="s">
        <v>81</v>
      </c>
      <c r="AB138">
        <v>20</v>
      </c>
      <c r="AD138" t="s">
        <v>81</v>
      </c>
      <c r="AE138">
        <v>10000</v>
      </c>
      <c r="AF138" t="s">
        <v>92</v>
      </c>
      <c r="AH138" t="s">
        <v>83</v>
      </c>
      <c r="AI138">
        <v>1</v>
      </c>
      <c r="AJ138">
        <v>0</v>
      </c>
      <c r="AK138">
        <v>0</v>
      </c>
      <c r="AL138">
        <v>0</v>
      </c>
      <c r="AM138">
        <v>5000</v>
      </c>
      <c r="AN138">
        <v>7600</v>
      </c>
      <c r="BP138">
        <v>795919156</v>
      </c>
      <c r="BQ138" t="s">
        <v>546</v>
      </c>
      <c r="BR138" s="1">
        <v>46202.609259259261</v>
      </c>
      <c r="BU138" t="s">
        <v>86</v>
      </c>
      <c r="BW138" t="s">
        <v>279</v>
      </c>
      <c r="BY138" t="s">
        <v>547</v>
      </c>
      <c r="BZ138">
        <v>137</v>
      </c>
    </row>
    <row r="139" spans="1:78" x14ac:dyDescent="0.2">
      <c r="A139" s="1">
        <v>46198.45680226852</v>
      </c>
      <c r="B139" s="1">
        <v>46203.892512893523</v>
      </c>
      <c r="D139" t="s">
        <v>78</v>
      </c>
      <c r="J139" t="s">
        <v>102</v>
      </c>
      <c r="L139" t="s">
        <v>78</v>
      </c>
      <c r="M139">
        <v>3</v>
      </c>
      <c r="N139">
        <v>0</v>
      </c>
      <c r="O139">
        <v>1</v>
      </c>
      <c r="P139" t="s">
        <v>98</v>
      </c>
      <c r="Q139" t="s">
        <v>78</v>
      </c>
      <c r="R139">
        <v>1</v>
      </c>
      <c r="S139">
        <v>0</v>
      </c>
      <c r="T139" t="s">
        <v>548</v>
      </c>
      <c r="V139" t="s">
        <v>93</v>
      </c>
      <c r="W139">
        <v>3130</v>
      </c>
      <c r="Z139" t="s">
        <v>81</v>
      </c>
      <c r="BP139">
        <v>797399456</v>
      </c>
      <c r="BQ139" t="s">
        <v>549</v>
      </c>
      <c r="BR139" s="1">
        <v>46203.663356481477</v>
      </c>
      <c r="BU139" t="s">
        <v>86</v>
      </c>
      <c r="BW139" t="s">
        <v>550</v>
      </c>
      <c r="BY139" t="s">
        <v>551</v>
      </c>
      <c r="BZ139">
        <v>138</v>
      </c>
    </row>
    <row r="140" spans="1:78" x14ac:dyDescent="0.2">
      <c r="A140" s="1">
        <v>46198.462072152783</v>
      </c>
      <c r="B140" s="1">
        <v>46203.892835439823</v>
      </c>
      <c r="D140" t="s">
        <v>78</v>
      </c>
      <c r="J140" t="s">
        <v>79</v>
      </c>
      <c r="L140" t="s">
        <v>78</v>
      </c>
      <c r="M140">
        <v>3</v>
      </c>
      <c r="N140">
        <v>0</v>
      </c>
      <c r="O140">
        <v>3</v>
      </c>
      <c r="P140" t="s">
        <v>98</v>
      </c>
      <c r="Q140" t="s">
        <v>78</v>
      </c>
      <c r="R140">
        <v>1</v>
      </c>
      <c r="S140">
        <v>0</v>
      </c>
      <c r="T140" t="s">
        <v>552</v>
      </c>
      <c r="V140" t="s">
        <v>553</v>
      </c>
      <c r="W140">
        <v>3500</v>
      </c>
      <c r="BP140">
        <v>797400037</v>
      </c>
      <c r="BQ140" t="s">
        <v>554</v>
      </c>
      <c r="BR140" s="1">
        <v>46203.663680555554</v>
      </c>
      <c r="BU140" t="s">
        <v>86</v>
      </c>
      <c r="BW140" t="s">
        <v>550</v>
      </c>
      <c r="BY140" t="s">
        <v>555</v>
      </c>
      <c r="BZ140">
        <v>139</v>
      </c>
    </row>
    <row r="141" spans="1:78" x14ac:dyDescent="0.2">
      <c r="A141" s="1">
        <v>46198.639107523151</v>
      </c>
      <c r="B141" s="1">
        <v>46203.893007719897</v>
      </c>
      <c r="D141" t="s">
        <v>78</v>
      </c>
      <c r="E141" t="s">
        <v>556</v>
      </c>
      <c r="F141">
        <v>29.38869</v>
      </c>
      <c r="G141">
        <v>79.460329000000002</v>
      </c>
      <c r="H141">
        <v>1903.800048828125</v>
      </c>
      <c r="I141">
        <v>13.39999961853027</v>
      </c>
      <c r="J141" t="s">
        <v>97</v>
      </c>
      <c r="L141" t="s">
        <v>78</v>
      </c>
      <c r="M141">
        <v>5</v>
      </c>
      <c r="N141">
        <v>0</v>
      </c>
      <c r="O141">
        <v>0</v>
      </c>
      <c r="P141" t="s">
        <v>81</v>
      </c>
      <c r="Q141" t="s">
        <v>78</v>
      </c>
      <c r="R141">
        <v>1</v>
      </c>
      <c r="S141">
        <v>0</v>
      </c>
      <c r="T141" t="s">
        <v>557</v>
      </c>
      <c r="V141" t="s">
        <v>93</v>
      </c>
      <c r="W141">
        <v>3000</v>
      </c>
      <c r="X141">
        <v>3000</v>
      </c>
      <c r="Z141" t="s">
        <v>81</v>
      </c>
      <c r="AA141" t="s">
        <v>81</v>
      </c>
      <c r="AE141">
        <v>0</v>
      </c>
      <c r="AF141" t="s">
        <v>82</v>
      </c>
      <c r="AG141" t="s">
        <v>558</v>
      </c>
      <c r="AH141" t="s">
        <v>134</v>
      </c>
      <c r="AI141">
        <v>0</v>
      </c>
      <c r="AJ141">
        <v>0</v>
      </c>
      <c r="AK141">
        <v>0</v>
      </c>
      <c r="AL141">
        <v>1</v>
      </c>
      <c r="AM141">
        <v>0</v>
      </c>
      <c r="AN141">
        <v>0</v>
      </c>
      <c r="BP141">
        <v>797400308</v>
      </c>
      <c r="BQ141" t="s">
        <v>559</v>
      </c>
      <c r="BR141" s="1">
        <v>46203.663854166669</v>
      </c>
      <c r="BU141" t="s">
        <v>86</v>
      </c>
      <c r="BW141" t="s">
        <v>550</v>
      </c>
      <c r="BY141" t="s">
        <v>560</v>
      </c>
      <c r="BZ141">
        <v>140</v>
      </c>
    </row>
    <row r="142" spans="1:78" x14ac:dyDescent="0.2">
      <c r="A142" s="1">
        <v>46199.447959976853</v>
      </c>
      <c r="B142" s="1">
        <v>46203.893228055553</v>
      </c>
      <c r="D142" t="s">
        <v>78</v>
      </c>
      <c r="E142" t="s">
        <v>561</v>
      </c>
      <c r="F142">
        <v>29.389240999999998</v>
      </c>
      <c r="G142">
        <v>79.459738999999999</v>
      </c>
      <c r="H142">
        <v>1911.199951171875</v>
      </c>
      <c r="I142">
        <v>21.944000244140621</v>
      </c>
      <c r="J142" t="s">
        <v>106</v>
      </c>
      <c r="L142" t="s">
        <v>81</v>
      </c>
      <c r="M142">
        <v>60</v>
      </c>
      <c r="N142">
        <v>0</v>
      </c>
      <c r="P142" t="s">
        <v>81</v>
      </c>
      <c r="Q142" t="s">
        <v>78</v>
      </c>
      <c r="R142">
        <v>1</v>
      </c>
      <c r="S142">
        <v>0</v>
      </c>
      <c r="T142" t="s">
        <v>562</v>
      </c>
      <c r="U142" t="s">
        <v>80</v>
      </c>
      <c r="W142">
        <v>150000</v>
      </c>
      <c r="X142">
        <v>90000</v>
      </c>
      <c r="Z142" t="s">
        <v>81</v>
      </c>
      <c r="AA142" t="s">
        <v>81</v>
      </c>
      <c r="AB142">
        <v>52</v>
      </c>
      <c r="AC142">
        <v>120</v>
      </c>
      <c r="AD142" t="s">
        <v>81</v>
      </c>
      <c r="AE142">
        <v>40000</v>
      </c>
      <c r="AF142" t="s">
        <v>82</v>
      </c>
      <c r="AG142" t="s">
        <v>563</v>
      </c>
      <c r="AH142" t="s">
        <v>83</v>
      </c>
      <c r="AI142">
        <v>1</v>
      </c>
      <c r="AJ142">
        <v>0</v>
      </c>
      <c r="AK142">
        <v>0</v>
      </c>
      <c r="AL142">
        <v>0</v>
      </c>
      <c r="BP142">
        <v>797400736</v>
      </c>
      <c r="BQ142" t="s">
        <v>564</v>
      </c>
      <c r="BR142" s="1">
        <v>46203.664074074077</v>
      </c>
      <c r="BU142" t="s">
        <v>86</v>
      </c>
      <c r="BW142" t="s">
        <v>550</v>
      </c>
      <c r="BY142" t="s">
        <v>565</v>
      </c>
      <c r="BZ142">
        <v>141</v>
      </c>
    </row>
    <row r="143" spans="1:78" x14ac:dyDescent="0.2">
      <c r="A143" s="1">
        <v>46199.501396261578</v>
      </c>
      <c r="B143" s="1">
        <v>46203.893382418981</v>
      </c>
      <c r="D143" t="s">
        <v>78</v>
      </c>
      <c r="E143" t="s">
        <v>566</v>
      </c>
      <c r="F143">
        <v>29.375928999999999</v>
      </c>
      <c r="G143">
        <v>79.464793</v>
      </c>
      <c r="H143">
        <v>1876.900024414062</v>
      </c>
      <c r="I143">
        <v>93.620002746582031</v>
      </c>
      <c r="J143" t="s">
        <v>97</v>
      </c>
      <c r="L143" t="s">
        <v>78</v>
      </c>
      <c r="M143">
        <v>1</v>
      </c>
      <c r="N143">
        <v>1</v>
      </c>
      <c r="O143">
        <v>1</v>
      </c>
      <c r="P143" t="s">
        <v>81</v>
      </c>
      <c r="Q143" t="s">
        <v>78</v>
      </c>
      <c r="R143">
        <v>1</v>
      </c>
      <c r="S143">
        <v>0</v>
      </c>
      <c r="T143" t="s">
        <v>567</v>
      </c>
      <c r="V143" t="s">
        <v>94</v>
      </c>
      <c r="W143">
        <v>15000</v>
      </c>
      <c r="X143">
        <v>7000</v>
      </c>
      <c r="Z143" t="s">
        <v>81</v>
      </c>
      <c r="AA143" t="s">
        <v>81</v>
      </c>
      <c r="AE143">
        <v>10</v>
      </c>
      <c r="AF143" t="s">
        <v>82</v>
      </c>
      <c r="AG143" t="s">
        <v>568</v>
      </c>
      <c r="AH143" t="s">
        <v>134</v>
      </c>
      <c r="AI143">
        <v>0</v>
      </c>
      <c r="AJ143">
        <v>0</v>
      </c>
      <c r="AK143">
        <v>0</v>
      </c>
      <c r="AL143">
        <v>1</v>
      </c>
      <c r="AM143">
        <v>0</v>
      </c>
      <c r="AN143">
        <v>0</v>
      </c>
      <c r="BP143">
        <v>797401081</v>
      </c>
      <c r="BQ143" t="s">
        <v>569</v>
      </c>
      <c r="BR143" s="1">
        <v>46203.664224537039</v>
      </c>
      <c r="BU143" t="s">
        <v>86</v>
      </c>
      <c r="BW143" t="s">
        <v>550</v>
      </c>
      <c r="BY143" t="s">
        <v>570</v>
      </c>
      <c r="BZ143">
        <v>142</v>
      </c>
    </row>
    <row r="144" spans="1:78" x14ac:dyDescent="0.2">
      <c r="A144" s="1">
        <v>46202.401792430559</v>
      </c>
      <c r="B144" s="1">
        <v>46203.893567199077</v>
      </c>
      <c r="D144" t="s">
        <v>78</v>
      </c>
      <c r="E144" t="s">
        <v>571</v>
      </c>
      <c r="F144">
        <v>29.376082</v>
      </c>
      <c r="G144">
        <v>79.464286000000001</v>
      </c>
      <c r="H144">
        <v>1887.300048828125</v>
      </c>
      <c r="I144">
        <v>17.104000091552731</v>
      </c>
      <c r="J144" t="s">
        <v>102</v>
      </c>
      <c r="L144" t="s">
        <v>78</v>
      </c>
      <c r="M144">
        <v>1</v>
      </c>
      <c r="N144">
        <v>0</v>
      </c>
      <c r="O144">
        <v>1</v>
      </c>
      <c r="P144" t="s">
        <v>81</v>
      </c>
      <c r="Q144" t="s">
        <v>78</v>
      </c>
      <c r="R144">
        <v>1</v>
      </c>
      <c r="S144">
        <v>0</v>
      </c>
      <c r="T144" t="s">
        <v>572</v>
      </c>
      <c r="V144" t="s">
        <v>93</v>
      </c>
      <c r="W144">
        <v>2500</v>
      </c>
      <c r="X144">
        <v>2500</v>
      </c>
      <c r="Z144" t="s">
        <v>81</v>
      </c>
      <c r="AF144" t="s">
        <v>82</v>
      </c>
      <c r="BP144">
        <v>797401470</v>
      </c>
      <c r="BQ144" t="s">
        <v>573</v>
      </c>
      <c r="BR144" s="1">
        <v>46203.664409722223</v>
      </c>
      <c r="BU144" t="s">
        <v>86</v>
      </c>
      <c r="BW144" t="s">
        <v>550</v>
      </c>
      <c r="BY144" t="s">
        <v>574</v>
      </c>
      <c r="BZ144">
        <v>143</v>
      </c>
    </row>
    <row r="145" spans="1:78" x14ac:dyDescent="0.2">
      <c r="A145" s="1">
        <v>46202.45021949074</v>
      </c>
      <c r="B145" s="1">
        <v>46203.894103969913</v>
      </c>
      <c r="D145" t="s">
        <v>78</v>
      </c>
      <c r="E145" t="s">
        <v>575</v>
      </c>
      <c r="F145">
        <v>29.375734000000001</v>
      </c>
      <c r="G145">
        <v>79.464741000000004</v>
      </c>
      <c r="H145">
        <v>1876.900024414062</v>
      </c>
      <c r="I145">
        <v>24.093000411987301</v>
      </c>
      <c r="J145" t="s">
        <v>97</v>
      </c>
      <c r="L145" t="s">
        <v>81</v>
      </c>
      <c r="M145">
        <v>1</v>
      </c>
      <c r="N145">
        <v>0</v>
      </c>
      <c r="O145">
        <v>0</v>
      </c>
      <c r="P145" t="s">
        <v>81</v>
      </c>
      <c r="Q145" t="s">
        <v>78</v>
      </c>
      <c r="R145">
        <v>1</v>
      </c>
      <c r="S145">
        <v>0</v>
      </c>
      <c r="V145" t="s">
        <v>94</v>
      </c>
      <c r="Z145" t="s">
        <v>81</v>
      </c>
      <c r="AA145" t="s">
        <v>81</v>
      </c>
      <c r="AE145">
        <v>15</v>
      </c>
      <c r="AF145" t="s">
        <v>92</v>
      </c>
      <c r="AG145" t="s">
        <v>568</v>
      </c>
      <c r="AH145" t="s">
        <v>576</v>
      </c>
      <c r="AI145">
        <v>0</v>
      </c>
      <c r="AJ145">
        <v>1</v>
      </c>
      <c r="AK145">
        <v>0</v>
      </c>
      <c r="AL145">
        <v>1</v>
      </c>
      <c r="AM145">
        <v>0</v>
      </c>
      <c r="AN145">
        <v>0</v>
      </c>
      <c r="BP145">
        <v>797402500</v>
      </c>
      <c r="BQ145" t="s">
        <v>577</v>
      </c>
      <c r="BR145" s="1">
        <v>46203.664942129632</v>
      </c>
      <c r="BU145" t="s">
        <v>86</v>
      </c>
      <c r="BW145" t="s">
        <v>550</v>
      </c>
      <c r="BY145" t="s">
        <v>578</v>
      </c>
      <c r="BZ145">
        <v>144</v>
      </c>
    </row>
    <row r="146" spans="1:78" x14ac:dyDescent="0.2">
      <c r="A146" s="1">
        <v>46202.46415334491</v>
      </c>
      <c r="B146" s="1">
        <v>46203.894260532397</v>
      </c>
      <c r="D146" t="s">
        <v>78</v>
      </c>
      <c r="E146" t="s">
        <v>579</v>
      </c>
      <c r="F146">
        <v>29.376714</v>
      </c>
      <c r="G146">
        <v>79.464420000000004</v>
      </c>
      <c r="H146">
        <v>1894.7812201515289</v>
      </c>
      <c r="I146">
        <v>20.916000366210941</v>
      </c>
      <c r="J146" t="s">
        <v>102</v>
      </c>
      <c r="L146" t="s">
        <v>78</v>
      </c>
      <c r="M146">
        <v>2</v>
      </c>
      <c r="N146">
        <v>0</v>
      </c>
      <c r="O146">
        <v>2</v>
      </c>
      <c r="P146" t="s">
        <v>81</v>
      </c>
      <c r="Q146" t="s">
        <v>78</v>
      </c>
      <c r="R146">
        <v>1</v>
      </c>
      <c r="S146">
        <v>0</v>
      </c>
      <c r="T146" t="s">
        <v>580</v>
      </c>
      <c r="V146" t="s">
        <v>93</v>
      </c>
      <c r="W146">
        <v>600</v>
      </c>
      <c r="X146">
        <v>600</v>
      </c>
      <c r="Z146" t="s">
        <v>81</v>
      </c>
      <c r="AF146" t="s">
        <v>82</v>
      </c>
      <c r="BP146">
        <v>797403005</v>
      </c>
      <c r="BQ146" t="s">
        <v>581</v>
      </c>
      <c r="BR146" s="1">
        <v>46203.665162037039</v>
      </c>
      <c r="BU146" t="s">
        <v>86</v>
      </c>
      <c r="BW146" t="s">
        <v>550</v>
      </c>
      <c r="BY146" t="s">
        <v>582</v>
      </c>
      <c r="BZ146">
        <v>145</v>
      </c>
    </row>
    <row r="147" spans="1:78" x14ac:dyDescent="0.2">
      <c r="A147" s="1">
        <v>46202.465546493047</v>
      </c>
      <c r="B147" s="1">
        <v>46203.894481875002</v>
      </c>
      <c r="D147" t="s">
        <v>78</v>
      </c>
      <c r="E147" t="s">
        <v>583</v>
      </c>
      <c r="F147">
        <v>29.377704999999999</v>
      </c>
      <c r="G147">
        <v>79.464110000000005</v>
      </c>
      <c r="H147">
        <v>1897.400024414062</v>
      </c>
      <c r="I147">
        <v>25.13800048828125</v>
      </c>
      <c r="J147" t="s">
        <v>102</v>
      </c>
      <c r="L147" t="s">
        <v>78</v>
      </c>
      <c r="M147">
        <v>1</v>
      </c>
      <c r="N147">
        <v>0</v>
      </c>
      <c r="O147">
        <v>1</v>
      </c>
      <c r="P147" t="s">
        <v>81</v>
      </c>
      <c r="Q147" t="s">
        <v>78</v>
      </c>
      <c r="R147">
        <v>1</v>
      </c>
      <c r="S147">
        <v>0</v>
      </c>
      <c r="T147" t="s">
        <v>572</v>
      </c>
      <c r="V147" t="s">
        <v>93</v>
      </c>
      <c r="W147">
        <v>500</v>
      </c>
      <c r="X147">
        <v>500</v>
      </c>
      <c r="Z147" t="s">
        <v>81</v>
      </c>
      <c r="AF147" t="s">
        <v>82</v>
      </c>
      <c r="BP147">
        <v>797403352</v>
      </c>
      <c r="BQ147" t="s">
        <v>584</v>
      </c>
      <c r="BR147" s="1">
        <v>46203.665324074071</v>
      </c>
      <c r="BU147" t="s">
        <v>86</v>
      </c>
      <c r="BW147" t="s">
        <v>550</v>
      </c>
      <c r="BY147" t="s">
        <v>585</v>
      </c>
      <c r="BZ147">
        <v>146</v>
      </c>
    </row>
    <row r="148" spans="1:78" x14ac:dyDescent="0.2">
      <c r="A148" s="1">
        <v>46202.476147453701</v>
      </c>
      <c r="B148" s="1">
        <v>46203.894647615743</v>
      </c>
      <c r="D148" t="s">
        <v>78</v>
      </c>
      <c r="E148" t="s">
        <v>586</v>
      </c>
      <c r="F148">
        <v>29.378247999999999</v>
      </c>
      <c r="G148">
        <v>79.464122000000003</v>
      </c>
      <c r="H148">
        <v>1900.699951171875</v>
      </c>
      <c r="I148">
        <v>22.27400016784668</v>
      </c>
      <c r="J148" t="s">
        <v>102</v>
      </c>
      <c r="L148" t="s">
        <v>78</v>
      </c>
      <c r="M148">
        <v>1</v>
      </c>
      <c r="N148">
        <v>0</v>
      </c>
      <c r="O148">
        <v>1</v>
      </c>
      <c r="P148" t="s">
        <v>81</v>
      </c>
      <c r="Q148" t="s">
        <v>78</v>
      </c>
      <c r="R148">
        <v>1</v>
      </c>
      <c r="S148">
        <v>0</v>
      </c>
      <c r="T148" t="s">
        <v>587</v>
      </c>
      <c r="V148" t="s">
        <v>93</v>
      </c>
      <c r="Z148" t="s">
        <v>81</v>
      </c>
      <c r="AF148" t="s">
        <v>82</v>
      </c>
      <c r="BP148">
        <v>797403665</v>
      </c>
      <c r="BQ148" t="s">
        <v>588</v>
      </c>
      <c r="BR148" s="1">
        <v>46203.665486111109</v>
      </c>
      <c r="BU148" t="s">
        <v>86</v>
      </c>
      <c r="BW148" t="s">
        <v>550</v>
      </c>
      <c r="BY148" t="s">
        <v>589</v>
      </c>
      <c r="BZ148">
        <v>147</v>
      </c>
    </row>
    <row r="149" spans="1:78" x14ac:dyDescent="0.2">
      <c r="A149" s="1">
        <v>46202.489571446757</v>
      </c>
      <c r="B149" s="1">
        <v>46203.894789247694</v>
      </c>
      <c r="D149" t="s">
        <v>78</v>
      </c>
      <c r="E149" t="s">
        <v>590</v>
      </c>
      <c r="F149">
        <v>29.378404</v>
      </c>
      <c r="G149">
        <v>79.464096999999995</v>
      </c>
      <c r="H149">
        <v>1902</v>
      </c>
      <c r="I149">
        <v>11.532999992370611</v>
      </c>
      <c r="J149" t="s">
        <v>102</v>
      </c>
      <c r="L149" t="s">
        <v>78</v>
      </c>
      <c r="M149">
        <v>1</v>
      </c>
      <c r="N149">
        <v>0</v>
      </c>
      <c r="O149">
        <v>1</v>
      </c>
      <c r="P149" t="s">
        <v>81</v>
      </c>
      <c r="Q149" t="s">
        <v>78</v>
      </c>
      <c r="R149">
        <v>1</v>
      </c>
      <c r="S149">
        <v>0</v>
      </c>
      <c r="T149" t="s">
        <v>591</v>
      </c>
      <c r="V149" t="s">
        <v>93</v>
      </c>
      <c r="W149">
        <v>600</v>
      </c>
      <c r="X149">
        <v>600</v>
      </c>
      <c r="Z149" t="s">
        <v>81</v>
      </c>
      <c r="AF149" t="s">
        <v>82</v>
      </c>
      <c r="BP149">
        <v>797403983</v>
      </c>
      <c r="BQ149" t="s">
        <v>592</v>
      </c>
      <c r="BR149" s="1">
        <v>46203.665636574071</v>
      </c>
      <c r="BU149" t="s">
        <v>86</v>
      </c>
      <c r="BW149" t="s">
        <v>550</v>
      </c>
      <c r="BY149" t="s">
        <v>593</v>
      </c>
      <c r="BZ149">
        <v>148</v>
      </c>
    </row>
    <row r="150" spans="1:78" x14ac:dyDescent="0.2">
      <c r="A150" s="1">
        <v>46202.502822905088</v>
      </c>
      <c r="B150" s="1">
        <v>46203.894898761573</v>
      </c>
      <c r="D150" t="s">
        <v>78</v>
      </c>
      <c r="E150" t="s">
        <v>594</v>
      </c>
      <c r="F150">
        <v>29.378869000000002</v>
      </c>
      <c r="G150">
        <v>79.463857000000004</v>
      </c>
      <c r="H150">
        <v>1902.099975585938</v>
      </c>
      <c r="I150">
        <v>11.48200035095215</v>
      </c>
      <c r="J150" t="s">
        <v>102</v>
      </c>
      <c r="L150" t="s">
        <v>78</v>
      </c>
      <c r="M150">
        <v>2</v>
      </c>
      <c r="N150">
        <v>0</v>
      </c>
      <c r="O150">
        <v>2</v>
      </c>
      <c r="P150" t="s">
        <v>81</v>
      </c>
      <c r="Q150" t="s">
        <v>78</v>
      </c>
      <c r="R150">
        <v>1</v>
      </c>
      <c r="S150">
        <v>0</v>
      </c>
      <c r="T150" t="s">
        <v>595</v>
      </c>
      <c r="V150" t="s">
        <v>93</v>
      </c>
      <c r="W150">
        <v>1000</v>
      </c>
      <c r="X150">
        <v>1000</v>
      </c>
      <c r="Z150" t="s">
        <v>81</v>
      </c>
      <c r="AF150" t="s">
        <v>82</v>
      </c>
      <c r="BP150">
        <v>797404240</v>
      </c>
      <c r="BQ150" t="s">
        <v>596</v>
      </c>
      <c r="BR150" s="1">
        <v>46203.66574074074</v>
      </c>
      <c r="BU150" t="s">
        <v>86</v>
      </c>
      <c r="BW150" t="s">
        <v>550</v>
      </c>
      <c r="BY150" t="s">
        <v>597</v>
      </c>
      <c r="BZ150">
        <v>149</v>
      </c>
    </row>
    <row r="151" spans="1:78" x14ac:dyDescent="0.2">
      <c r="A151" s="1">
        <v>46204.530012048614</v>
      </c>
      <c r="B151" s="1">
        <v>46204.534592256947</v>
      </c>
      <c r="D151" t="s">
        <v>78</v>
      </c>
      <c r="E151" t="s">
        <v>598</v>
      </c>
      <c r="F151">
        <v>29.512301999999998</v>
      </c>
      <c r="G151">
        <v>79.621932000000001</v>
      </c>
      <c r="H151">
        <v>1650.699951171875</v>
      </c>
      <c r="I151">
        <v>12.52600002288818</v>
      </c>
      <c r="J151" t="s">
        <v>102</v>
      </c>
      <c r="L151" t="s">
        <v>78</v>
      </c>
      <c r="M151">
        <v>3</v>
      </c>
      <c r="N151">
        <v>1</v>
      </c>
      <c r="O151">
        <v>1</v>
      </c>
      <c r="P151" t="s">
        <v>81</v>
      </c>
      <c r="Q151" t="s">
        <v>81</v>
      </c>
      <c r="R151">
        <v>0</v>
      </c>
      <c r="S151">
        <v>1</v>
      </c>
      <c r="T151" t="s">
        <v>304</v>
      </c>
      <c r="V151" t="s">
        <v>93</v>
      </c>
      <c r="W151">
        <v>8000</v>
      </c>
      <c r="X151">
        <v>8000</v>
      </c>
      <c r="Z151" t="s">
        <v>81</v>
      </c>
      <c r="BP151">
        <v>797952810</v>
      </c>
      <c r="BQ151" t="s">
        <v>599</v>
      </c>
      <c r="BR151" s="1">
        <v>46204.305532407408</v>
      </c>
      <c r="BU151" t="s">
        <v>86</v>
      </c>
      <c r="BW151" t="s">
        <v>550</v>
      </c>
      <c r="BY151" t="s">
        <v>600</v>
      </c>
      <c r="BZ151">
        <v>150</v>
      </c>
    </row>
    <row r="152" spans="1:78" x14ac:dyDescent="0.2">
      <c r="A152" s="1">
        <v>46204.523504131947</v>
      </c>
      <c r="B152" s="1">
        <v>46204.535089722223</v>
      </c>
      <c r="D152" t="s">
        <v>78</v>
      </c>
      <c r="E152" t="s">
        <v>601</v>
      </c>
      <c r="F152">
        <v>29.512191000000001</v>
      </c>
      <c r="G152">
        <v>79.622123999999999</v>
      </c>
      <c r="H152">
        <v>1655.099975585938</v>
      </c>
      <c r="I152">
        <v>28.10000038146973</v>
      </c>
      <c r="J152" t="s">
        <v>102</v>
      </c>
      <c r="L152" t="s">
        <v>78</v>
      </c>
      <c r="M152">
        <v>3</v>
      </c>
      <c r="N152">
        <v>0</v>
      </c>
      <c r="O152">
        <v>3</v>
      </c>
      <c r="P152" t="s">
        <v>98</v>
      </c>
      <c r="Q152" t="s">
        <v>78</v>
      </c>
      <c r="R152">
        <v>1</v>
      </c>
      <c r="S152">
        <v>0</v>
      </c>
      <c r="U152" t="s">
        <v>80</v>
      </c>
      <c r="V152" t="s">
        <v>602</v>
      </c>
      <c r="Z152" t="s">
        <v>81</v>
      </c>
      <c r="AF152" t="s">
        <v>82</v>
      </c>
      <c r="BP152">
        <v>797953428</v>
      </c>
      <c r="BQ152" t="s">
        <v>603</v>
      </c>
      <c r="BR152" s="1">
        <v>46204.305925925917</v>
      </c>
      <c r="BU152" t="s">
        <v>86</v>
      </c>
      <c r="BW152" t="s">
        <v>550</v>
      </c>
      <c r="BY152" t="s">
        <v>604</v>
      </c>
      <c r="BZ152">
        <v>151</v>
      </c>
    </row>
    <row r="153" spans="1:78" x14ac:dyDescent="0.2">
      <c r="A153" s="1">
        <v>46199.446160057872</v>
      </c>
      <c r="B153" s="1">
        <v>46204.536224224539</v>
      </c>
      <c r="D153" t="s">
        <v>78</v>
      </c>
      <c r="E153" t="s">
        <v>605</v>
      </c>
      <c r="F153">
        <v>29.512253000000001</v>
      </c>
      <c r="G153">
        <v>79.622648999999996</v>
      </c>
      <c r="H153">
        <v>1650.699951171875</v>
      </c>
      <c r="I153">
        <v>10.55000019073486</v>
      </c>
      <c r="J153" t="s">
        <v>102</v>
      </c>
      <c r="L153" t="s">
        <v>78</v>
      </c>
      <c r="M153">
        <v>1</v>
      </c>
      <c r="N153">
        <v>0</v>
      </c>
      <c r="O153">
        <v>1</v>
      </c>
      <c r="P153" t="s">
        <v>98</v>
      </c>
      <c r="Q153" t="s">
        <v>81</v>
      </c>
      <c r="R153">
        <v>0</v>
      </c>
      <c r="S153">
        <v>1</v>
      </c>
      <c r="T153" t="s">
        <v>304</v>
      </c>
      <c r="V153" t="s">
        <v>93</v>
      </c>
      <c r="W153">
        <v>6000</v>
      </c>
      <c r="X153">
        <v>6000</v>
      </c>
      <c r="Z153" t="s">
        <v>81</v>
      </c>
      <c r="BP153">
        <v>797954960</v>
      </c>
      <c r="BQ153" t="s">
        <v>606</v>
      </c>
      <c r="BR153" s="1">
        <v>46204.307083333333</v>
      </c>
      <c r="BU153" t="s">
        <v>86</v>
      </c>
      <c r="BW153" t="s">
        <v>550</v>
      </c>
      <c r="BY153" t="s">
        <v>607</v>
      </c>
      <c r="BZ153">
        <v>152</v>
      </c>
    </row>
    <row r="154" spans="1:78" x14ac:dyDescent="0.2">
      <c r="A154" s="1">
        <v>46204.535090972233</v>
      </c>
      <c r="B154" s="1">
        <v>46204.537987372692</v>
      </c>
      <c r="D154" t="s">
        <v>78</v>
      </c>
      <c r="E154" t="s">
        <v>608</v>
      </c>
      <c r="F154">
        <v>29.512170999999999</v>
      </c>
      <c r="G154">
        <v>79.622140000000002</v>
      </c>
      <c r="H154">
        <v>1655.099975585938</v>
      </c>
      <c r="I154">
        <v>52.400001525878913</v>
      </c>
      <c r="J154" t="s">
        <v>97</v>
      </c>
      <c r="L154" t="s">
        <v>78</v>
      </c>
      <c r="M154">
        <v>1</v>
      </c>
      <c r="N154">
        <v>0</v>
      </c>
      <c r="P154" t="s">
        <v>81</v>
      </c>
      <c r="Q154" t="s">
        <v>78</v>
      </c>
      <c r="R154">
        <v>1</v>
      </c>
      <c r="S154">
        <v>0</v>
      </c>
      <c r="V154" t="s">
        <v>94</v>
      </c>
      <c r="W154">
        <v>3000</v>
      </c>
      <c r="X154">
        <v>3000</v>
      </c>
      <c r="Z154" t="s">
        <v>81</v>
      </c>
      <c r="AA154" t="s">
        <v>81</v>
      </c>
      <c r="AE154">
        <v>3000</v>
      </c>
      <c r="AF154" t="s">
        <v>92</v>
      </c>
      <c r="AG154" t="s">
        <v>609</v>
      </c>
      <c r="AH154" t="s">
        <v>463</v>
      </c>
      <c r="AI154">
        <v>0</v>
      </c>
      <c r="AJ154">
        <v>1</v>
      </c>
      <c r="AK154">
        <v>0</v>
      </c>
      <c r="AL154">
        <v>0</v>
      </c>
      <c r="AM154">
        <v>0</v>
      </c>
      <c r="AN154">
        <v>3600</v>
      </c>
      <c r="BP154">
        <v>797957021</v>
      </c>
      <c r="BQ154" t="s">
        <v>610</v>
      </c>
      <c r="BR154" s="1">
        <v>46204.308831018519</v>
      </c>
      <c r="BU154" t="s">
        <v>86</v>
      </c>
      <c r="BW154" t="s">
        <v>550</v>
      </c>
      <c r="BY154" t="s">
        <v>611</v>
      </c>
      <c r="BZ154">
        <v>153</v>
      </c>
    </row>
    <row r="155" spans="1:78" x14ac:dyDescent="0.2">
      <c r="A155" s="1">
        <v>46200.464914583332</v>
      </c>
      <c r="B155" s="1">
        <v>46202.510037106476</v>
      </c>
      <c r="D155" t="s">
        <v>78</v>
      </c>
      <c r="E155" t="s">
        <v>612</v>
      </c>
      <c r="F155">
        <v>29.377026999999998</v>
      </c>
      <c r="G155">
        <v>79.459117000000006</v>
      </c>
      <c r="H155">
        <v>2068.554444352344</v>
      </c>
      <c r="I155">
        <v>19.229134058795889</v>
      </c>
      <c r="J155" t="s">
        <v>613</v>
      </c>
      <c r="L155" t="s">
        <v>81</v>
      </c>
      <c r="M155">
        <v>8</v>
      </c>
      <c r="N155">
        <v>0</v>
      </c>
      <c r="O155">
        <v>8</v>
      </c>
      <c r="P155" t="s">
        <v>81</v>
      </c>
      <c r="Q155" t="s">
        <v>78</v>
      </c>
      <c r="R155">
        <v>1</v>
      </c>
      <c r="S155">
        <v>0</v>
      </c>
      <c r="T155" t="s">
        <v>304</v>
      </c>
      <c r="U155" t="s">
        <v>80</v>
      </c>
      <c r="W155">
        <v>3400</v>
      </c>
      <c r="X155">
        <v>4000</v>
      </c>
      <c r="Z155" t="s">
        <v>81</v>
      </c>
      <c r="AF155" t="s">
        <v>114</v>
      </c>
      <c r="BP155">
        <v>797959156</v>
      </c>
      <c r="BQ155" t="s">
        <v>614</v>
      </c>
      <c r="BR155" s="1">
        <v>46204.310636574082</v>
      </c>
      <c r="BU155" t="s">
        <v>86</v>
      </c>
      <c r="BW155" t="s">
        <v>279</v>
      </c>
      <c r="BY155" t="s">
        <v>615</v>
      </c>
      <c r="BZ155">
        <v>154</v>
      </c>
    </row>
    <row r="156" spans="1:78" x14ac:dyDescent="0.2">
      <c r="A156" s="1">
        <v>46202.510037245367</v>
      </c>
      <c r="B156" s="1">
        <v>46204.541019502307</v>
      </c>
      <c r="D156" t="s">
        <v>78</v>
      </c>
      <c r="E156" t="s">
        <v>616</v>
      </c>
      <c r="F156">
        <v>29.512177000000001</v>
      </c>
      <c r="G156">
        <v>79.622011999999998</v>
      </c>
      <c r="H156">
        <v>1694.4225926208489</v>
      </c>
      <c r="I156">
        <v>19.448852547378738</v>
      </c>
      <c r="J156" t="s">
        <v>102</v>
      </c>
      <c r="L156" t="s">
        <v>78</v>
      </c>
      <c r="M156">
        <v>2</v>
      </c>
      <c r="N156">
        <v>0</v>
      </c>
      <c r="O156">
        <v>2</v>
      </c>
      <c r="P156" t="s">
        <v>81</v>
      </c>
      <c r="Q156" t="s">
        <v>303</v>
      </c>
      <c r="R156">
        <v>1</v>
      </c>
      <c r="S156">
        <v>1</v>
      </c>
      <c r="T156" t="s">
        <v>324</v>
      </c>
      <c r="W156">
        <v>5000</v>
      </c>
      <c r="X156">
        <v>5000</v>
      </c>
      <c r="Z156" t="s">
        <v>81</v>
      </c>
      <c r="AF156" t="s">
        <v>82</v>
      </c>
      <c r="BP156">
        <v>797960587</v>
      </c>
      <c r="BQ156" t="s">
        <v>617</v>
      </c>
      <c r="BR156" s="1">
        <v>46204.311874999999</v>
      </c>
      <c r="BU156" t="s">
        <v>86</v>
      </c>
      <c r="BW156" t="s">
        <v>279</v>
      </c>
      <c r="BY156" t="s">
        <v>618</v>
      </c>
      <c r="BZ156">
        <v>155</v>
      </c>
    </row>
    <row r="157" spans="1:78" x14ac:dyDescent="0.2">
      <c r="A157" s="1">
        <v>46204.62688585648</v>
      </c>
      <c r="B157" s="1">
        <v>46204.627866273149</v>
      </c>
      <c r="D157" t="s">
        <v>78</v>
      </c>
      <c r="J157" t="s">
        <v>102</v>
      </c>
      <c r="L157" t="s">
        <v>78</v>
      </c>
      <c r="M157">
        <v>2</v>
      </c>
      <c r="N157">
        <v>2</v>
      </c>
      <c r="O157">
        <v>2</v>
      </c>
      <c r="P157" t="s">
        <v>81</v>
      </c>
      <c r="Q157" t="s">
        <v>81</v>
      </c>
      <c r="R157">
        <v>0</v>
      </c>
      <c r="S157">
        <v>1</v>
      </c>
      <c r="T157" t="s">
        <v>304</v>
      </c>
      <c r="U157" t="s">
        <v>80</v>
      </c>
      <c r="V157" t="s">
        <v>602</v>
      </c>
      <c r="W157">
        <v>3000</v>
      </c>
      <c r="X157">
        <v>3000</v>
      </c>
      <c r="Z157" t="s">
        <v>81</v>
      </c>
      <c r="BP157">
        <v>798124187</v>
      </c>
      <c r="BQ157" t="s">
        <v>619</v>
      </c>
      <c r="BR157" s="1">
        <v>46204.398715277777</v>
      </c>
      <c r="BU157" t="s">
        <v>86</v>
      </c>
      <c r="BW157" t="s">
        <v>550</v>
      </c>
      <c r="BY157" t="s">
        <v>620</v>
      </c>
      <c r="BZ157">
        <v>156</v>
      </c>
    </row>
    <row r="158" spans="1:78" x14ac:dyDescent="0.2">
      <c r="A158" s="1">
        <v>46204.622392187499</v>
      </c>
      <c r="B158" s="1">
        <v>46204.629695497693</v>
      </c>
      <c r="D158" t="s">
        <v>78</v>
      </c>
      <c r="E158" t="s">
        <v>621</v>
      </c>
      <c r="F158">
        <v>29.512180000000001</v>
      </c>
      <c r="G158">
        <v>79.622035999999994</v>
      </c>
      <c r="H158">
        <v>1694.8424945724969</v>
      </c>
      <c r="I158">
        <v>19.078786077105239</v>
      </c>
      <c r="J158" t="s">
        <v>102</v>
      </c>
      <c r="L158" t="s">
        <v>78</v>
      </c>
      <c r="M158">
        <v>1</v>
      </c>
      <c r="N158">
        <v>1</v>
      </c>
      <c r="O158">
        <v>0</v>
      </c>
      <c r="P158" t="s">
        <v>81</v>
      </c>
      <c r="Q158" t="s">
        <v>78</v>
      </c>
      <c r="R158">
        <v>1</v>
      </c>
      <c r="S158">
        <v>0</v>
      </c>
      <c r="T158" t="s">
        <v>622</v>
      </c>
      <c r="U158" t="s">
        <v>80</v>
      </c>
      <c r="W158">
        <v>1200</v>
      </c>
      <c r="X158">
        <v>1200</v>
      </c>
      <c r="Z158" t="s">
        <v>81</v>
      </c>
      <c r="AF158" t="s">
        <v>82</v>
      </c>
      <c r="BP158">
        <v>798128977</v>
      </c>
      <c r="BQ158" t="s">
        <v>623</v>
      </c>
      <c r="BR158" s="1">
        <v>46204.400543981479</v>
      </c>
      <c r="BU158" t="s">
        <v>86</v>
      </c>
      <c r="BW158" t="s">
        <v>550</v>
      </c>
      <c r="BY158" t="s">
        <v>624</v>
      </c>
      <c r="BZ158">
        <v>157</v>
      </c>
    </row>
    <row r="159" spans="1:78" x14ac:dyDescent="0.2">
      <c r="A159" s="1">
        <v>46204.664474097219</v>
      </c>
      <c r="B159" s="1">
        <v>46204.666636724527</v>
      </c>
      <c r="D159" t="s">
        <v>78</v>
      </c>
      <c r="E159" t="s">
        <v>625</v>
      </c>
      <c r="F159">
        <v>29.505122</v>
      </c>
      <c r="G159">
        <v>79.615482</v>
      </c>
      <c r="H159">
        <v>1699.199951171875</v>
      </c>
      <c r="I159">
        <v>330.70901489257812</v>
      </c>
      <c r="J159" t="s">
        <v>102</v>
      </c>
      <c r="L159" t="s">
        <v>78</v>
      </c>
      <c r="M159">
        <v>2</v>
      </c>
      <c r="N159">
        <v>1</v>
      </c>
      <c r="O159">
        <v>1</v>
      </c>
      <c r="P159" t="s">
        <v>81</v>
      </c>
      <c r="Q159" t="s">
        <v>78</v>
      </c>
      <c r="R159">
        <v>1</v>
      </c>
      <c r="S159">
        <v>0</v>
      </c>
      <c r="T159" t="s">
        <v>93</v>
      </c>
      <c r="U159" t="s">
        <v>80</v>
      </c>
      <c r="V159" t="s">
        <v>602</v>
      </c>
      <c r="W159">
        <v>300</v>
      </c>
      <c r="X159">
        <v>300</v>
      </c>
      <c r="Z159" t="s">
        <v>81</v>
      </c>
      <c r="AF159" t="s">
        <v>92</v>
      </c>
      <c r="BP159">
        <v>798215176</v>
      </c>
      <c r="BQ159" t="s">
        <v>626</v>
      </c>
      <c r="BR159" s="1">
        <v>46204.437476851846</v>
      </c>
      <c r="BU159" t="s">
        <v>86</v>
      </c>
      <c r="BW159" t="s">
        <v>550</v>
      </c>
      <c r="BY159" t="s">
        <v>627</v>
      </c>
      <c r="BZ159">
        <v>158</v>
      </c>
    </row>
    <row r="160" spans="1:78" x14ac:dyDescent="0.2">
      <c r="A160" s="1">
        <v>46199.416911400462</v>
      </c>
      <c r="B160" s="1">
        <v>46205.511800289351</v>
      </c>
      <c r="D160" t="s">
        <v>78</v>
      </c>
      <c r="E160" t="s">
        <v>628</v>
      </c>
      <c r="F160">
        <v>29.439713000000001</v>
      </c>
      <c r="G160">
        <v>79.634771000000001</v>
      </c>
      <c r="H160">
        <v>1857.400024414062</v>
      </c>
      <c r="I160">
        <v>14.44299983978271</v>
      </c>
      <c r="J160" t="s">
        <v>267</v>
      </c>
      <c r="L160" t="s">
        <v>81</v>
      </c>
      <c r="M160">
        <v>9</v>
      </c>
      <c r="N160">
        <v>18</v>
      </c>
      <c r="O160">
        <v>2</v>
      </c>
      <c r="P160" t="s">
        <v>98</v>
      </c>
      <c r="Q160" t="s">
        <v>78</v>
      </c>
      <c r="R160">
        <v>1</v>
      </c>
      <c r="S160">
        <v>0</v>
      </c>
      <c r="T160" t="s">
        <v>629</v>
      </c>
      <c r="W160">
        <v>300</v>
      </c>
      <c r="X160">
        <v>200</v>
      </c>
      <c r="Z160" t="s">
        <v>81</v>
      </c>
      <c r="AA160" t="s">
        <v>78</v>
      </c>
      <c r="AB160">
        <v>2</v>
      </c>
      <c r="AC160">
        <v>4</v>
      </c>
      <c r="AD160" t="s">
        <v>78</v>
      </c>
      <c r="AE160">
        <v>1500</v>
      </c>
      <c r="AF160" t="s">
        <v>142</v>
      </c>
      <c r="AG160" t="s">
        <v>630</v>
      </c>
      <c r="AH160" t="s">
        <v>463</v>
      </c>
      <c r="AI160">
        <v>0</v>
      </c>
      <c r="AJ160">
        <v>1</v>
      </c>
      <c r="AK160">
        <v>0</v>
      </c>
      <c r="AL160">
        <v>0</v>
      </c>
      <c r="AM160">
        <v>0</v>
      </c>
      <c r="AN160">
        <v>0</v>
      </c>
      <c r="BP160">
        <v>799480637</v>
      </c>
      <c r="BQ160" t="s">
        <v>631</v>
      </c>
      <c r="BR160" s="1">
        <v>46205.28266203704</v>
      </c>
      <c r="BU160" t="s">
        <v>86</v>
      </c>
      <c r="BW160" t="s">
        <v>279</v>
      </c>
      <c r="BY160" t="s">
        <v>632</v>
      </c>
      <c r="BZ160">
        <v>159</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158"/>
  <sheetViews>
    <sheetView tabSelected="1" workbookViewId="0">
      <pane ySplit="1" topLeftCell="A2" activePane="bottomLeft" state="frozen"/>
      <selection pane="bottomLeft" activeCell="BG6" sqref="BG6"/>
    </sheetView>
  </sheetViews>
  <sheetFormatPr baseColWidth="10" defaultColWidth="8.83203125" defaultRowHeight="15" x14ac:dyDescent="0.2"/>
  <cols>
    <col min="1" max="1" width="12.33203125" bestFit="1" customWidth="1"/>
    <col min="2" max="2" width="18.5" customWidth="1"/>
    <col min="3" max="3" width="15.5" customWidth="1"/>
    <col min="4" max="4" width="13.33203125" customWidth="1"/>
    <col min="5" max="5" width="12.5" customWidth="1"/>
    <col min="6" max="6" width="12.6640625" customWidth="1"/>
    <col min="7" max="7" width="13.1640625" bestFit="1" customWidth="1"/>
    <col min="8" max="8" width="16.1640625" customWidth="1"/>
    <col min="9" max="9" width="13" customWidth="1"/>
    <col min="10" max="10" width="15.33203125" customWidth="1"/>
    <col min="11" max="11" width="17.1640625" customWidth="1"/>
    <col min="12" max="12" width="14.6640625" customWidth="1"/>
    <col min="13" max="13" width="10.83203125" customWidth="1"/>
    <col min="14" max="14" width="12.1640625" customWidth="1"/>
    <col min="15" max="15" width="14.6640625" customWidth="1"/>
    <col min="16" max="16" width="13.5" customWidth="1"/>
    <col min="17" max="17" width="39.6640625" customWidth="1"/>
    <col min="18" max="18" width="23.1640625" customWidth="1"/>
    <col min="19" max="19" width="19.83203125" bestFit="1" customWidth="1"/>
    <col min="65" max="65" width="8.83203125" style="12"/>
  </cols>
  <sheetData>
    <row r="1" spans="1:66" s="2" customFormat="1" ht="78" customHeight="1" x14ac:dyDescent="0.2">
      <c r="A1" s="3" t="s">
        <v>3</v>
      </c>
      <c r="B1" s="2" t="s">
        <v>4</v>
      </c>
      <c r="C1" s="2" t="s">
        <v>5</v>
      </c>
      <c r="D1" s="2" t="s">
        <v>6</v>
      </c>
      <c r="E1" s="2" t="s">
        <v>7</v>
      </c>
      <c r="F1" s="2" t="s">
        <v>8</v>
      </c>
      <c r="G1" s="2" t="s">
        <v>9</v>
      </c>
      <c r="H1" s="2" t="s">
        <v>10</v>
      </c>
      <c r="I1" s="2" t="s">
        <v>11</v>
      </c>
      <c r="J1" s="2" t="s">
        <v>12</v>
      </c>
      <c r="K1" s="2" t="s">
        <v>13</v>
      </c>
      <c r="L1" s="2" t="s">
        <v>14</v>
      </c>
      <c r="M1" s="2" t="s">
        <v>15</v>
      </c>
      <c r="N1" s="2" t="s">
        <v>16</v>
      </c>
      <c r="O1" s="18" t="s">
        <v>17</v>
      </c>
      <c r="P1" s="18" t="s">
        <v>18</v>
      </c>
      <c r="Q1" s="2" t="s">
        <v>19</v>
      </c>
      <c r="R1" s="2" t="s">
        <v>20</v>
      </c>
      <c r="S1" s="7" t="s">
        <v>21</v>
      </c>
      <c r="T1" s="2" t="s">
        <v>22</v>
      </c>
      <c r="U1" s="2" t="s">
        <v>23</v>
      </c>
      <c r="V1" s="2" t="s">
        <v>24</v>
      </c>
      <c r="W1" s="2" t="s">
        <v>25</v>
      </c>
      <c r="X1" s="2" t="s">
        <v>26</v>
      </c>
      <c r="Y1" s="2" t="s">
        <v>27</v>
      </c>
      <c r="Z1" s="2" t="s">
        <v>28</v>
      </c>
      <c r="AA1" s="2" t="s">
        <v>29</v>
      </c>
      <c r="AB1" s="2" t="s">
        <v>30</v>
      </c>
      <c r="AC1" s="2" t="s">
        <v>31</v>
      </c>
      <c r="AD1" s="2" t="s">
        <v>32</v>
      </c>
      <c r="AE1" s="2" t="s">
        <v>33</v>
      </c>
      <c r="AF1" s="2" t="s">
        <v>34</v>
      </c>
      <c r="AG1" s="2" t="s">
        <v>35</v>
      </c>
      <c r="AH1" s="2" t="s">
        <v>36</v>
      </c>
      <c r="AI1" s="2" t="s">
        <v>37</v>
      </c>
      <c r="AJ1" s="2" t="s">
        <v>38</v>
      </c>
      <c r="AK1" s="2" t="s">
        <v>39</v>
      </c>
      <c r="AL1" s="2" t="s">
        <v>40</v>
      </c>
      <c r="AM1" s="2" t="s">
        <v>41</v>
      </c>
      <c r="AN1" s="2" t="s">
        <v>42</v>
      </c>
      <c r="AO1" s="2" t="s">
        <v>43</v>
      </c>
      <c r="AP1" s="2" t="s">
        <v>44</v>
      </c>
      <c r="AQ1" s="2" t="s">
        <v>45</v>
      </c>
      <c r="AR1" s="2" t="s">
        <v>46</v>
      </c>
      <c r="AS1" s="2" t="s">
        <v>47</v>
      </c>
      <c r="AT1" s="2" t="s">
        <v>48</v>
      </c>
      <c r="AU1" s="2" t="s">
        <v>49</v>
      </c>
      <c r="AV1" s="2" t="s">
        <v>50</v>
      </c>
      <c r="AW1" s="2" t="s">
        <v>51</v>
      </c>
      <c r="AX1" s="2" t="s">
        <v>52</v>
      </c>
      <c r="AY1" s="2" t="s">
        <v>53</v>
      </c>
      <c r="AZ1" s="2" t="s">
        <v>54</v>
      </c>
      <c r="BA1" s="2" t="s">
        <v>55</v>
      </c>
      <c r="BB1" s="2" t="s">
        <v>56</v>
      </c>
      <c r="BC1" s="2" t="s">
        <v>57</v>
      </c>
      <c r="BD1" s="2" t="s">
        <v>58</v>
      </c>
      <c r="BE1" s="2" t="s">
        <v>59</v>
      </c>
      <c r="BF1" s="2" t="s">
        <v>60</v>
      </c>
      <c r="BG1" s="2" t="s">
        <v>61</v>
      </c>
      <c r="BH1" s="2" t="s">
        <v>62</v>
      </c>
      <c r="BI1" s="2" t="s">
        <v>63</v>
      </c>
      <c r="BJ1" s="2" t="s">
        <v>64</v>
      </c>
      <c r="BK1" s="2" t="s">
        <v>65</v>
      </c>
      <c r="BL1" s="4" t="s">
        <v>66</v>
      </c>
      <c r="BM1" s="16"/>
      <c r="BN1" t="s">
        <v>633</v>
      </c>
    </row>
    <row r="2" spans="1:66" ht="16" x14ac:dyDescent="0.2">
      <c r="A2" t="s">
        <v>78</v>
      </c>
      <c r="G2" t="s">
        <v>79</v>
      </c>
      <c r="I2" t="s">
        <v>78</v>
      </c>
      <c r="J2">
        <v>2</v>
      </c>
      <c r="K2">
        <v>1</v>
      </c>
      <c r="L2">
        <v>3</v>
      </c>
      <c r="N2" t="s">
        <v>78</v>
      </c>
      <c r="O2" s="8">
        <v>1</v>
      </c>
      <c r="P2" s="8">
        <v>0</v>
      </c>
      <c r="Q2" s="2"/>
      <c r="R2" s="2" t="s">
        <v>80</v>
      </c>
      <c r="S2" s="8"/>
      <c r="T2">
        <v>3000</v>
      </c>
      <c r="U2">
        <v>3000</v>
      </c>
      <c r="V2" t="s">
        <v>81</v>
      </c>
      <c r="AC2" t="s">
        <v>82</v>
      </c>
      <c r="AE2" t="s">
        <v>83</v>
      </c>
      <c r="AF2">
        <v>1</v>
      </c>
      <c r="AG2">
        <v>0</v>
      </c>
      <c r="AH2">
        <v>0</v>
      </c>
      <c r="AI2">
        <v>0</v>
      </c>
      <c r="AV2" t="s">
        <v>84</v>
      </c>
      <c r="AW2">
        <v>1</v>
      </c>
      <c r="AX2">
        <v>0</v>
      </c>
      <c r="AY2">
        <v>1</v>
      </c>
      <c r="AZ2">
        <v>0</v>
      </c>
      <c r="BD2" t="s">
        <v>81</v>
      </c>
      <c r="BF2" t="s">
        <v>81</v>
      </c>
      <c r="BN2">
        <f>COUNTBLANK(A2:BL2)</f>
        <v>38</v>
      </c>
    </row>
    <row r="3" spans="1:66" ht="32" x14ac:dyDescent="0.2">
      <c r="A3" t="s">
        <v>78</v>
      </c>
      <c r="G3" t="s">
        <v>89</v>
      </c>
      <c r="H3" t="s">
        <v>90</v>
      </c>
      <c r="I3" t="s">
        <v>78</v>
      </c>
      <c r="J3">
        <v>3</v>
      </c>
      <c r="K3">
        <v>0</v>
      </c>
      <c r="L3">
        <v>3</v>
      </c>
      <c r="M3" t="s">
        <v>81</v>
      </c>
      <c r="N3" t="s">
        <v>78</v>
      </c>
      <c r="O3" s="8">
        <v>1</v>
      </c>
      <c r="P3" s="8">
        <v>0</v>
      </c>
      <c r="Q3" s="2" t="s">
        <v>91</v>
      </c>
      <c r="R3" s="2" t="s">
        <v>80</v>
      </c>
      <c r="S3" s="8"/>
      <c r="T3">
        <v>1500</v>
      </c>
      <c r="U3">
        <v>1000</v>
      </c>
      <c r="V3" t="s">
        <v>81</v>
      </c>
      <c r="X3" t="s">
        <v>81</v>
      </c>
      <c r="AA3" t="s">
        <v>81</v>
      </c>
      <c r="AB3">
        <v>0</v>
      </c>
      <c r="AC3" t="s">
        <v>92</v>
      </c>
      <c r="AE3" t="s">
        <v>83</v>
      </c>
      <c r="AF3">
        <v>1</v>
      </c>
      <c r="AG3">
        <v>0</v>
      </c>
      <c r="AH3">
        <v>0</v>
      </c>
      <c r="AI3">
        <v>0</v>
      </c>
      <c r="AR3" t="s">
        <v>93</v>
      </c>
      <c r="AV3" t="s">
        <v>94</v>
      </c>
      <c r="AW3">
        <v>0</v>
      </c>
      <c r="AX3">
        <v>0</v>
      </c>
      <c r="AY3">
        <v>0</v>
      </c>
      <c r="AZ3">
        <v>1</v>
      </c>
      <c r="BD3" t="s">
        <v>81</v>
      </c>
      <c r="BF3" t="s">
        <v>78</v>
      </c>
      <c r="BN3">
        <f>COUNTBLANK(A3:BL3)</f>
        <v>31</v>
      </c>
    </row>
    <row r="4" spans="1:66" ht="16" x14ac:dyDescent="0.2">
      <c r="A4" t="s">
        <v>78</v>
      </c>
      <c r="G4" t="s">
        <v>97</v>
      </c>
      <c r="I4" t="s">
        <v>78</v>
      </c>
      <c r="J4">
        <v>20</v>
      </c>
      <c r="K4">
        <v>20</v>
      </c>
      <c r="L4">
        <v>5</v>
      </c>
      <c r="M4" t="s">
        <v>98</v>
      </c>
      <c r="N4" t="s">
        <v>78</v>
      </c>
      <c r="O4" s="8">
        <v>1</v>
      </c>
      <c r="P4" s="8">
        <v>0</v>
      </c>
      <c r="Q4" s="2" t="s">
        <v>99</v>
      </c>
      <c r="R4" s="2" t="s">
        <v>80</v>
      </c>
      <c r="S4" s="8"/>
      <c r="T4">
        <v>8000</v>
      </c>
      <c r="U4">
        <v>8000</v>
      </c>
      <c r="V4" t="s">
        <v>81</v>
      </c>
      <c r="X4" t="s">
        <v>78</v>
      </c>
      <c r="AA4" t="s">
        <v>81</v>
      </c>
      <c r="AB4">
        <v>1000</v>
      </c>
      <c r="AC4" t="s">
        <v>82</v>
      </c>
      <c r="AE4" t="s">
        <v>83</v>
      </c>
      <c r="AF4">
        <v>1</v>
      </c>
      <c r="AG4">
        <v>0</v>
      </c>
      <c r="AH4">
        <v>0</v>
      </c>
      <c r="AI4">
        <v>0</v>
      </c>
      <c r="AR4" t="s">
        <v>81</v>
      </c>
      <c r="BD4" t="s">
        <v>81</v>
      </c>
      <c r="BF4" t="s">
        <v>81</v>
      </c>
      <c r="BN4">
        <f t="shared" ref="BN4:BN65" si="0">COUNTBLANK(A4:BL4)</f>
        <v>37</v>
      </c>
    </row>
    <row r="5" spans="1:66" x14ac:dyDescent="0.2">
      <c r="A5" t="s">
        <v>78</v>
      </c>
      <c r="G5" t="s">
        <v>102</v>
      </c>
      <c r="I5" t="s">
        <v>81</v>
      </c>
      <c r="J5">
        <v>8</v>
      </c>
      <c r="K5">
        <v>0</v>
      </c>
      <c r="L5">
        <v>0</v>
      </c>
      <c r="M5" t="s">
        <v>81</v>
      </c>
      <c r="N5" t="s">
        <v>78</v>
      </c>
      <c r="O5" s="8">
        <v>1</v>
      </c>
      <c r="P5" s="8">
        <v>0</v>
      </c>
      <c r="Q5" s="2"/>
      <c r="R5" s="2"/>
      <c r="S5" s="8"/>
      <c r="T5">
        <v>4500</v>
      </c>
      <c r="U5">
        <v>4500</v>
      </c>
      <c r="V5" t="s">
        <v>81</v>
      </c>
      <c r="X5" t="s">
        <v>81</v>
      </c>
      <c r="AA5" t="s">
        <v>81</v>
      </c>
      <c r="AV5" t="s">
        <v>103</v>
      </c>
      <c r="AW5">
        <v>1</v>
      </c>
      <c r="AX5">
        <v>0</v>
      </c>
      <c r="AY5">
        <v>0</v>
      </c>
      <c r="AZ5">
        <v>0</v>
      </c>
      <c r="BN5">
        <f t="shared" si="0"/>
        <v>44</v>
      </c>
    </row>
    <row r="6" spans="1:66" ht="16" x14ac:dyDescent="0.2">
      <c r="A6" t="s">
        <v>78</v>
      </c>
      <c r="G6" t="s">
        <v>106</v>
      </c>
      <c r="I6" t="s">
        <v>78</v>
      </c>
      <c r="J6">
        <v>60</v>
      </c>
      <c r="K6">
        <v>0</v>
      </c>
      <c r="L6">
        <v>48</v>
      </c>
      <c r="M6" t="s">
        <v>81</v>
      </c>
      <c r="N6" t="s">
        <v>78</v>
      </c>
      <c r="O6" s="8">
        <v>1</v>
      </c>
      <c r="P6" s="8">
        <v>0</v>
      </c>
      <c r="Q6" s="2" t="s">
        <v>107</v>
      </c>
      <c r="R6" s="2" t="s">
        <v>80</v>
      </c>
      <c r="S6" s="8"/>
      <c r="T6">
        <v>125000</v>
      </c>
      <c r="U6">
        <v>100000</v>
      </c>
      <c r="V6" t="s">
        <v>81</v>
      </c>
      <c r="X6" t="s">
        <v>81</v>
      </c>
      <c r="AA6" t="s">
        <v>81</v>
      </c>
      <c r="AB6">
        <v>100000</v>
      </c>
      <c r="AC6" t="s">
        <v>82</v>
      </c>
      <c r="AE6" t="s">
        <v>83</v>
      </c>
      <c r="AF6">
        <v>1</v>
      </c>
      <c r="AG6">
        <v>0</v>
      </c>
      <c r="AH6">
        <v>0</v>
      </c>
      <c r="AI6">
        <v>0</v>
      </c>
      <c r="AR6" t="s">
        <v>93</v>
      </c>
      <c r="BD6" t="s">
        <v>81</v>
      </c>
      <c r="BF6" t="s">
        <v>78</v>
      </c>
      <c r="BN6">
        <f t="shared" si="0"/>
        <v>37</v>
      </c>
    </row>
    <row r="7" spans="1:66" ht="16" x14ac:dyDescent="0.2">
      <c r="A7" t="s">
        <v>78</v>
      </c>
      <c r="G7" t="s">
        <v>102</v>
      </c>
      <c r="I7" t="s">
        <v>78</v>
      </c>
      <c r="J7">
        <v>3</v>
      </c>
      <c r="K7">
        <v>3</v>
      </c>
      <c r="L7">
        <v>3</v>
      </c>
      <c r="M7" t="s">
        <v>98</v>
      </c>
      <c r="N7" t="s">
        <v>78</v>
      </c>
      <c r="O7" s="8">
        <v>1</v>
      </c>
      <c r="P7" s="8">
        <v>0</v>
      </c>
      <c r="Q7" s="2" t="s">
        <v>110</v>
      </c>
      <c r="R7" s="2"/>
      <c r="S7" s="8"/>
      <c r="X7" t="s">
        <v>78</v>
      </c>
      <c r="BN7">
        <f t="shared" si="0"/>
        <v>52</v>
      </c>
    </row>
    <row r="8" spans="1:66" ht="16" x14ac:dyDescent="0.2">
      <c r="A8" t="s">
        <v>78</v>
      </c>
      <c r="G8" t="s">
        <v>97</v>
      </c>
      <c r="I8" t="s">
        <v>78</v>
      </c>
      <c r="J8">
        <v>2</v>
      </c>
      <c r="K8">
        <v>2</v>
      </c>
      <c r="L8">
        <v>2</v>
      </c>
      <c r="M8" t="s">
        <v>81</v>
      </c>
      <c r="N8" t="s">
        <v>78</v>
      </c>
      <c r="O8" s="8">
        <v>1</v>
      </c>
      <c r="P8" s="8">
        <v>0</v>
      </c>
      <c r="Q8" s="2" t="s">
        <v>113</v>
      </c>
      <c r="R8" s="2" t="s">
        <v>80</v>
      </c>
      <c r="S8" s="8"/>
      <c r="T8">
        <v>800</v>
      </c>
      <c r="U8">
        <v>400</v>
      </c>
      <c r="V8" t="s">
        <v>81</v>
      </c>
      <c r="X8" t="s">
        <v>78</v>
      </c>
      <c r="AA8" t="s">
        <v>78</v>
      </c>
      <c r="AB8">
        <v>500</v>
      </c>
      <c r="AC8" t="s">
        <v>114</v>
      </c>
      <c r="AE8" t="s">
        <v>83</v>
      </c>
      <c r="AF8">
        <v>1</v>
      </c>
      <c r="AG8">
        <v>0</v>
      </c>
      <c r="AH8">
        <v>0</v>
      </c>
      <c r="AI8">
        <v>0</v>
      </c>
      <c r="AR8" t="s">
        <v>115</v>
      </c>
      <c r="AV8" t="s">
        <v>116</v>
      </c>
      <c r="AW8">
        <v>0</v>
      </c>
      <c r="AX8">
        <v>0</v>
      </c>
      <c r="AY8">
        <v>1</v>
      </c>
      <c r="AZ8">
        <v>0</v>
      </c>
      <c r="BD8" t="s">
        <v>81</v>
      </c>
      <c r="BF8" t="s">
        <v>81</v>
      </c>
      <c r="BN8">
        <f t="shared" si="0"/>
        <v>32</v>
      </c>
    </row>
    <row r="9" spans="1:66" ht="16" x14ac:dyDescent="0.2">
      <c r="A9" t="s">
        <v>78</v>
      </c>
      <c r="G9" t="s">
        <v>102</v>
      </c>
      <c r="I9" t="s">
        <v>78</v>
      </c>
      <c r="J9">
        <v>2</v>
      </c>
      <c r="K9">
        <v>0</v>
      </c>
      <c r="L9">
        <v>2</v>
      </c>
      <c r="M9" t="s">
        <v>81</v>
      </c>
      <c r="N9" t="s">
        <v>78</v>
      </c>
      <c r="O9" s="8">
        <v>1</v>
      </c>
      <c r="P9" s="8">
        <v>0</v>
      </c>
      <c r="Q9" s="2" t="s">
        <v>119</v>
      </c>
      <c r="R9" s="2"/>
      <c r="S9" s="8"/>
      <c r="BN9">
        <f t="shared" si="0"/>
        <v>53</v>
      </c>
    </row>
    <row r="10" spans="1:66" x14ac:dyDescent="0.2">
      <c r="A10" t="s">
        <v>78</v>
      </c>
      <c r="G10" t="s">
        <v>79</v>
      </c>
      <c r="I10" t="s">
        <v>81</v>
      </c>
      <c r="J10">
        <v>2</v>
      </c>
      <c r="K10">
        <v>0</v>
      </c>
      <c r="L10">
        <v>0</v>
      </c>
      <c r="N10" t="s">
        <v>78</v>
      </c>
      <c r="O10" s="8">
        <v>1</v>
      </c>
      <c r="P10" s="8">
        <v>0</v>
      </c>
      <c r="Q10" s="2"/>
      <c r="R10" s="2"/>
      <c r="S10" s="8"/>
      <c r="BN10">
        <f t="shared" si="0"/>
        <v>55</v>
      </c>
    </row>
    <row r="11" spans="1:66" ht="16" x14ac:dyDescent="0.2">
      <c r="A11" t="s">
        <v>78</v>
      </c>
      <c r="G11" t="s">
        <v>106</v>
      </c>
      <c r="I11" t="s">
        <v>78</v>
      </c>
      <c r="J11">
        <v>9</v>
      </c>
      <c r="K11">
        <v>4</v>
      </c>
      <c r="L11">
        <v>9</v>
      </c>
      <c r="M11" t="s">
        <v>81</v>
      </c>
      <c r="N11" t="s">
        <v>78</v>
      </c>
      <c r="O11" s="8">
        <v>1</v>
      </c>
      <c r="P11" s="8">
        <v>0</v>
      </c>
      <c r="Q11" s="2" t="s">
        <v>124</v>
      </c>
      <c r="R11" s="2" t="s">
        <v>80</v>
      </c>
      <c r="S11" s="8"/>
      <c r="T11">
        <v>15000</v>
      </c>
      <c r="U11">
        <v>10000</v>
      </c>
      <c r="V11" t="s">
        <v>78</v>
      </c>
      <c r="X11" t="s">
        <v>81</v>
      </c>
      <c r="AA11" t="s">
        <v>78</v>
      </c>
      <c r="AB11">
        <v>12000</v>
      </c>
      <c r="AC11" t="s">
        <v>82</v>
      </c>
      <c r="AE11" t="s">
        <v>83</v>
      </c>
      <c r="AF11">
        <v>1</v>
      </c>
      <c r="AG11">
        <v>0</v>
      </c>
      <c r="AH11">
        <v>0</v>
      </c>
      <c r="AI11">
        <v>0</v>
      </c>
      <c r="AR11" t="s">
        <v>81</v>
      </c>
      <c r="BD11" t="s">
        <v>78</v>
      </c>
      <c r="BF11" t="s">
        <v>78</v>
      </c>
      <c r="BN11">
        <f t="shared" si="0"/>
        <v>37</v>
      </c>
    </row>
    <row r="12" spans="1:66" ht="32" x14ac:dyDescent="0.2">
      <c r="A12" t="s">
        <v>78</v>
      </c>
      <c r="G12" t="s">
        <v>97</v>
      </c>
      <c r="I12" t="s">
        <v>78</v>
      </c>
      <c r="J12">
        <v>30</v>
      </c>
      <c r="K12">
        <v>30</v>
      </c>
      <c r="L12">
        <v>28</v>
      </c>
      <c r="M12" t="s">
        <v>81</v>
      </c>
      <c r="N12" t="s">
        <v>78</v>
      </c>
      <c r="O12" s="8">
        <v>1</v>
      </c>
      <c r="P12" s="8">
        <v>0</v>
      </c>
      <c r="Q12" s="2" t="s">
        <v>129</v>
      </c>
      <c r="R12" s="2" t="s">
        <v>80</v>
      </c>
      <c r="S12" s="8"/>
      <c r="T12">
        <v>13000</v>
      </c>
      <c r="U12">
        <v>11000</v>
      </c>
      <c r="V12" t="s">
        <v>81</v>
      </c>
      <c r="X12" t="s">
        <v>81</v>
      </c>
      <c r="AA12" t="s">
        <v>81</v>
      </c>
      <c r="AB12">
        <v>2000</v>
      </c>
      <c r="AC12" t="s">
        <v>92</v>
      </c>
      <c r="AE12" t="s">
        <v>83</v>
      </c>
      <c r="AF12">
        <v>1</v>
      </c>
      <c r="AG12">
        <v>0</v>
      </c>
      <c r="AH12">
        <v>0</v>
      </c>
      <c r="AI12">
        <v>0</v>
      </c>
      <c r="AR12" t="s">
        <v>130</v>
      </c>
      <c r="AV12" t="s">
        <v>116</v>
      </c>
      <c r="AW12">
        <v>0</v>
      </c>
      <c r="AX12">
        <v>0</v>
      </c>
      <c r="AY12">
        <v>1</v>
      </c>
      <c r="AZ12">
        <v>0</v>
      </c>
      <c r="BD12" t="s">
        <v>81</v>
      </c>
      <c r="BF12" t="s">
        <v>78</v>
      </c>
      <c r="BN12">
        <f t="shared" si="0"/>
        <v>32</v>
      </c>
    </row>
    <row r="13" spans="1:66" ht="16" x14ac:dyDescent="0.2">
      <c r="A13" t="s">
        <v>78</v>
      </c>
      <c r="G13" t="s">
        <v>79</v>
      </c>
      <c r="I13" t="s">
        <v>78</v>
      </c>
      <c r="J13">
        <v>3</v>
      </c>
      <c r="K13">
        <v>3</v>
      </c>
      <c r="L13">
        <v>3</v>
      </c>
      <c r="M13" t="s">
        <v>98</v>
      </c>
      <c r="N13" t="s">
        <v>78</v>
      </c>
      <c r="O13" s="8">
        <v>1</v>
      </c>
      <c r="P13" s="8">
        <v>0</v>
      </c>
      <c r="Q13" s="2" t="s">
        <v>133</v>
      </c>
      <c r="R13" s="2" t="s">
        <v>80</v>
      </c>
      <c r="S13" s="8"/>
      <c r="T13">
        <v>3500</v>
      </c>
      <c r="U13">
        <v>3500</v>
      </c>
      <c r="V13" t="s">
        <v>81</v>
      </c>
      <c r="X13" t="s">
        <v>78</v>
      </c>
      <c r="AA13" t="s">
        <v>78</v>
      </c>
      <c r="AB13">
        <v>0</v>
      </c>
      <c r="AC13" t="s">
        <v>82</v>
      </c>
      <c r="AE13" t="s">
        <v>134</v>
      </c>
      <c r="AF13">
        <v>0</v>
      </c>
      <c r="AG13">
        <v>0</v>
      </c>
      <c r="AH13">
        <v>0</v>
      </c>
      <c r="AI13">
        <v>1</v>
      </c>
      <c r="AR13" t="s">
        <v>135</v>
      </c>
      <c r="AV13" t="s">
        <v>103</v>
      </c>
      <c r="AW13">
        <v>1</v>
      </c>
      <c r="AX13">
        <v>0</v>
      </c>
      <c r="AY13">
        <v>0</v>
      </c>
      <c r="AZ13">
        <v>0</v>
      </c>
      <c r="BD13" t="s">
        <v>81</v>
      </c>
      <c r="BF13" t="s">
        <v>81</v>
      </c>
      <c r="BN13">
        <f t="shared" si="0"/>
        <v>32</v>
      </c>
    </row>
    <row r="14" spans="1:66" ht="16" x14ac:dyDescent="0.2">
      <c r="A14" t="s">
        <v>78</v>
      </c>
      <c r="G14" t="s">
        <v>102</v>
      </c>
      <c r="I14" t="s">
        <v>78</v>
      </c>
      <c r="J14">
        <v>2</v>
      </c>
      <c r="K14">
        <v>0</v>
      </c>
      <c r="L14">
        <v>2</v>
      </c>
      <c r="M14" t="s">
        <v>81</v>
      </c>
      <c r="N14" t="s">
        <v>78</v>
      </c>
      <c r="O14" s="8">
        <v>1</v>
      </c>
      <c r="P14" s="8">
        <v>0</v>
      </c>
      <c r="Q14" s="2" t="s">
        <v>138</v>
      </c>
      <c r="R14" s="2" t="s">
        <v>80</v>
      </c>
      <c r="S14" s="8"/>
      <c r="T14">
        <v>1000</v>
      </c>
      <c r="U14">
        <v>1000</v>
      </c>
      <c r="V14" t="s">
        <v>81</v>
      </c>
      <c r="X14" t="s">
        <v>81</v>
      </c>
      <c r="AA14" t="s">
        <v>81</v>
      </c>
      <c r="AB14">
        <v>0</v>
      </c>
      <c r="AC14" t="s">
        <v>82</v>
      </c>
      <c r="AE14" t="s">
        <v>83</v>
      </c>
      <c r="AF14">
        <v>1</v>
      </c>
      <c r="AG14">
        <v>0</v>
      </c>
      <c r="AH14">
        <v>0</v>
      </c>
      <c r="AI14">
        <v>0</v>
      </c>
      <c r="AR14" t="s">
        <v>130</v>
      </c>
      <c r="BD14" t="s">
        <v>81</v>
      </c>
      <c r="BF14" t="s">
        <v>81</v>
      </c>
      <c r="BN14">
        <f t="shared" si="0"/>
        <v>37</v>
      </c>
    </row>
    <row r="15" spans="1:66" ht="16" x14ac:dyDescent="0.2">
      <c r="A15" t="s">
        <v>78</v>
      </c>
      <c r="G15" t="s">
        <v>106</v>
      </c>
      <c r="I15" t="s">
        <v>78</v>
      </c>
      <c r="J15">
        <v>4</v>
      </c>
      <c r="L15">
        <v>3</v>
      </c>
      <c r="N15" t="s">
        <v>78</v>
      </c>
      <c r="O15" s="8">
        <v>1</v>
      </c>
      <c r="P15" s="8">
        <v>0</v>
      </c>
      <c r="Q15" s="2" t="s">
        <v>141</v>
      </c>
      <c r="R15" s="2" t="s">
        <v>80</v>
      </c>
      <c r="S15" s="8"/>
      <c r="T15">
        <v>30000</v>
      </c>
      <c r="U15">
        <v>15000</v>
      </c>
      <c r="V15" t="s">
        <v>81</v>
      </c>
      <c r="AA15" t="s">
        <v>81</v>
      </c>
      <c r="AB15">
        <v>30000</v>
      </c>
      <c r="AC15" t="s">
        <v>142</v>
      </c>
      <c r="AE15" t="s">
        <v>83</v>
      </c>
      <c r="AF15">
        <v>1</v>
      </c>
      <c r="AG15">
        <v>0</v>
      </c>
      <c r="AH15">
        <v>0</v>
      </c>
      <c r="AI15">
        <v>0</v>
      </c>
      <c r="BD15" t="s">
        <v>81</v>
      </c>
      <c r="BF15" t="s">
        <v>81</v>
      </c>
      <c r="BN15">
        <f t="shared" si="0"/>
        <v>41</v>
      </c>
    </row>
    <row r="16" spans="1:66" ht="16" x14ac:dyDescent="0.2">
      <c r="A16" t="s">
        <v>78</v>
      </c>
      <c r="G16" t="s">
        <v>97</v>
      </c>
      <c r="I16" t="s">
        <v>78</v>
      </c>
      <c r="J16">
        <v>7</v>
      </c>
      <c r="K16">
        <v>8</v>
      </c>
      <c r="L16">
        <v>7</v>
      </c>
      <c r="M16" t="s">
        <v>81</v>
      </c>
      <c r="N16" t="s">
        <v>78</v>
      </c>
      <c r="O16" s="8">
        <v>1</v>
      </c>
      <c r="P16" s="8">
        <v>0</v>
      </c>
      <c r="Q16" s="2" t="s">
        <v>133</v>
      </c>
      <c r="R16" s="2" t="s">
        <v>80</v>
      </c>
      <c r="S16" s="8"/>
      <c r="T16">
        <v>3000</v>
      </c>
      <c r="U16">
        <v>2200</v>
      </c>
      <c r="V16" t="s">
        <v>81</v>
      </c>
      <c r="X16" t="s">
        <v>81</v>
      </c>
      <c r="AA16" t="s">
        <v>81</v>
      </c>
      <c r="AB16">
        <v>1000</v>
      </c>
      <c r="AC16" t="s">
        <v>92</v>
      </c>
      <c r="AE16" t="s">
        <v>83</v>
      </c>
      <c r="AF16">
        <v>1</v>
      </c>
      <c r="AG16">
        <v>0</v>
      </c>
      <c r="AH16">
        <v>0</v>
      </c>
      <c r="AI16">
        <v>0</v>
      </c>
      <c r="AR16" t="s">
        <v>130</v>
      </c>
      <c r="AV16" t="s">
        <v>116</v>
      </c>
      <c r="AW16">
        <v>0</v>
      </c>
      <c r="AX16">
        <v>0</v>
      </c>
      <c r="AY16">
        <v>1</v>
      </c>
      <c r="AZ16">
        <v>0</v>
      </c>
      <c r="BD16" t="s">
        <v>81</v>
      </c>
      <c r="BF16" t="s">
        <v>78</v>
      </c>
      <c r="BN16">
        <f t="shared" si="0"/>
        <v>32</v>
      </c>
    </row>
    <row r="17" spans="1:66" ht="16" x14ac:dyDescent="0.2">
      <c r="A17" t="s">
        <v>78</v>
      </c>
      <c r="G17" t="s">
        <v>102</v>
      </c>
      <c r="I17" t="s">
        <v>78</v>
      </c>
      <c r="J17">
        <v>1</v>
      </c>
      <c r="K17">
        <v>1</v>
      </c>
      <c r="L17">
        <v>1</v>
      </c>
      <c r="M17" t="s">
        <v>98</v>
      </c>
      <c r="N17" t="s">
        <v>78</v>
      </c>
      <c r="O17" s="8">
        <v>1</v>
      </c>
      <c r="P17" s="8">
        <v>0</v>
      </c>
      <c r="Q17" s="2" t="s">
        <v>138</v>
      </c>
      <c r="R17" s="2" t="s">
        <v>80</v>
      </c>
      <c r="S17" s="8"/>
      <c r="T17">
        <v>1000</v>
      </c>
      <c r="U17">
        <v>1000</v>
      </c>
      <c r="V17" t="s">
        <v>81</v>
      </c>
      <c r="X17" t="s">
        <v>81</v>
      </c>
      <c r="AA17" t="s">
        <v>81</v>
      </c>
      <c r="AB17">
        <v>3000</v>
      </c>
      <c r="AC17" t="s">
        <v>92</v>
      </c>
      <c r="AE17" t="s">
        <v>83</v>
      </c>
      <c r="AF17">
        <v>1</v>
      </c>
      <c r="AG17">
        <v>0</v>
      </c>
      <c r="AH17">
        <v>0</v>
      </c>
      <c r="AI17">
        <v>0</v>
      </c>
      <c r="AR17" t="s">
        <v>147</v>
      </c>
      <c r="BD17" t="s">
        <v>81</v>
      </c>
      <c r="BF17" t="s">
        <v>81</v>
      </c>
      <c r="BN17">
        <f t="shared" si="0"/>
        <v>37</v>
      </c>
    </row>
    <row r="18" spans="1:66" ht="16" x14ac:dyDescent="0.2">
      <c r="A18" t="s">
        <v>78</v>
      </c>
      <c r="G18" t="s">
        <v>102</v>
      </c>
      <c r="I18" t="s">
        <v>78</v>
      </c>
      <c r="J18">
        <v>2</v>
      </c>
      <c r="K18">
        <v>0</v>
      </c>
      <c r="L18">
        <v>2</v>
      </c>
      <c r="M18" t="s">
        <v>98</v>
      </c>
      <c r="N18" t="s">
        <v>78</v>
      </c>
      <c r="O18" s="8">
        <v>1</v>
      </c>
      <c r="P18" s="8">
        <v>0</v>
      </c>
      <c r="Q18" s="2" t="s">
        <v>150</v>
      </c>
      <c r="R18" s="2" t="s">
        <v>80</v>
      </c>
      <c r="S18" s="8"/>
      <c r="T18">
        <v>1200</v>
      </c>
      <c r="U18">
        <v>1200</v>
      </c>
      <c r="V18" t="s">
        <v>81</v>
      </c>
      <c r="X18" t="s">
        <v>78</v>
      </c>
      <c r="AA18" t="s">
        <v>81</v>
      </c>
      <c r="AB18">
        <v>0</v>
      </c>
      <c r="AC18" t="s">
        <v>82</v>
      </c>
      <c r="AE18" t="s">
        <v>151</v>
      </c>
      <c r="AF18">
        <v>1</v>
      </c>
      <c r="AG18">
        <v>0</v>
      </c>
      <c r="AH18">
        <v>0</v>
      </c>
      <c r="AI18">
        <v>1</v>
      </c>
      <c r="AR18" t="s">
        <v>152</v>
      </c>
      <c r="AV18" t="s">
        <v>153</v>
      </c>
      <c r="AW18">
        <v>1</v>
      </c>
      <c r="AX18">
        <v>1</v>
      </c>
      <c r="AY18">
        <v>1</v>
      </c>
      <c r="AZ18">
        <v>0</v>
      </c>
      <c r="BD18" t="s">
        <v>81</v>
      </c>
      <c r="BF18" t="s">
        <v>81</v>
      </c>
      <c r="BN18">
        <f t="shared" si="0"/>
        <v>32</v>
      </c>
    </row>
    <row r="19" spans="1:66" ht="16" x14ac:dyDescent="0.2">
      <c r="A19" t="s">
        <v>78</v>
      </c>
      <c r="G19" t="s">
        <v>102</v>
      </c>
      <c r="I19" t="s">
        <v>78</v>
      </c>
      <c r="J19">
        <v>2</v>
      </c>
      <c r="K19">
        <v>2</v>
      </c>
      <c r="L19">
        <v>2</v>
      </c>
      <c r="M19" t="s">
        <v>98</v>
      </c>
      <c r="N19" t="s">
        <v>78</v>
      </c>
      <c r="O19" s="8">
        <v>1</v>
      </c>
      <c r="P19" s="8">
        <v>0</v>
      </c>
      <c r="Q19" s="2"/>
      <c r="R19" s="2" t="s">
        <v>80</v>
      </c>
      <c r="S19" s="8"/>
      <c r="T19">
        <v>2500</v>
      </c>
      <c r="U19">
        <v>2500</v>
      </c>
      <c r="V19" t="s">
        <v>81</v>
      </c>
      <c r="X19" t="s">
        <v>78</v>
      </c>
      <c r="AA19" t="s">
        <v>81</v>
      </c>
      <c r="AB19">
        <v>0</v>
      </c>
      <c r="AC19" t="s">
        <v>82</v>
      </c>
      <c r="AE19" t="s">
        <v>134</v>
      </c>
      <c r="AF19">
        <v>0</v>
      </c>
      <c r="AG19">
        <v>0</v>
      </c>
      <c r="AH19">
        <v>0</v>
      </c>
      <c r="AI19">
        <v>1</v>
      </c>
      <c r="BD19" t="s">
        <v>81</v>
      </c>
      <c r="BF19" t="s">
        <v>81</v>
      </c>
      <c r="BN19">
        <f t="shared" si="0"/>
        <v>39</v>
      </c>
    </row>
    <row r="20" spans="1:66" x14ac:dyDescent="0.2">
      <c r="A20" t="s">
        <v>78</v>
      </c>
      <c r="G20" t="s">
        <v>102</v>
      </c>
      <c r="I20" t="s">
        <v>81</v>
      </c>
      <c r="J20">
        <v>4</v>
      </c>
      <c r="K20">
        <v>0</v>
      </c>
      <c r="L20">
        <v>0</v>
      </c>
      <c r="M20" t="s">
        <v>81</v>
      </c>
      <c r="N20" t="s">
        <v>78</v>
      </c>
      <c r="O20" s="8">
        <v>1</v>
      </c>
      <c r="P20" s="8">
        <v>0</v>
      </c>
      <c r="Q20" s="2"/>
      <c r="R20" s="2"/>
      <c r="S20" s="8"/>
      <c r="T20">
        <v>2500</v>
      </c>
      <c r="U20">
        <v>1500</v>
      </c>
      <c r="BN20">
        <f t="shared" si="0"/>
        <v>52</v>
      </c>
    </row>
    <row r="21" spans="1:66" ht="16" x14ac:dyDescent="0.2">
      <c r="A21" t="s">
        <v>78</v>
      </c>
      <c r="G21" t="s">
        <v>102</v>
      </c>
      <c r="I21" t="s">
        <v>81</v>
      </c>
      <c r="J21">
        <v>1</v>
      </c>
      <c r="K21">
        <v>1</v>
      </c>
      <c r="L21">
        <v>1</v>
      </c>
      <c r="M21" t="s">
        <v>98</v>
      </c>
      <c r="N21" t="s">
        <v>81</v>
      </c>
      <c r="O21" s="6">
        <v>0</v>
      </c>
      <c r="P21" s="6">
        <v>1</v>
      </c>
      <c r="Q21" s="2" t="s">
        <v>160</v>
      </c>
      <c r="R21" s="2"/>
      <c r="S21" s="8"/>
      <c r="T21">
        <v>1000</v>
      </c>
      <c r="U21">
        <v>1000</v>
      </c>
      <c r="V21" t="s">
        <v>81</v>
      </c>
      <c r="X21" t="s">
        <v>78</v>
      </c>
      <c r="AA21" t="s">
        <v>81</v>
      </c>
      <c r="AE21" t="s">
        <v>134</v>
      </c>
      <c r="AF21">
        <v>0</v>
      </c>
      <c r="AG21">
        <v>0</v>
      </c>
      <c r="AH21">
        <v>0</v>
      </c>
      <c r="AI21">
        <v>1</v>
      </c>
      <c r="AR21" t="s">
        <v>161</v>
      </c>
      <c r="BN21">
        <f t="shared" si="0"/>
        <v>42</v>
      </c>
    </row>
    <row r="22" spans="1:66" ht="32" x14ac:dyDescent="0.2">
      <c r="A22" t="s">
        <v>78</v>
      </c>
      <c r="G22" t="s">
        <v>102</v>
      </c>
      <c r="I22" t="s">
        <v>78</v>
      </c>
      <c r="J22">
        <v>2</v>
      </c>
      <c r="K22">
        <v>2</v>
      </c>
      <c r="L22">
        <v>4</v>
      </c>
      <c r="M22" t="s">
        <v>81</v>
      </c>
      <c r="N22" t="s">
        <v>78</v>
      </c>
      <c r="O22" s="8">
        <v>1</v>
      </c>
      <c r="P22" s="8">
        <v>0</v>
      </c>
      <c r="Q22" s="2" t="s">
        <v>164</v>
      </c>
      <c r="R22" s="2"/>
      <c r="S22" s="8"/>
      <c r="T22">
        <v>4500</v>
      </c>
      <c r="U22">
        <v>3500</v>
      </c>
      <c r="V22" t="s">
        <v>81</v>
      </c>
      <c r="X22" t="s">
        <v>81</v>
      </c>
      <c r="AA22" t="s">
        <v>81</v>
      </c>
      <c r="AB22">
        <v>0</v>
      </c>
      <c r="AC22" t="s">
        <v>82</v>
      </c>
      <c r="BD22" t="s">
        <v>81</v>
      </c>
      <c r="BF22" t="s">
        <v>81</v>
      </c>
      <c r="BN22">
        <f t="shared" si="0"/>
        <v>44</v>
      </c>
    </row>
    <row r="23" spans="1:66" ht="16" x14ac:dyDescent="0.2">
      <c r="A23" t="s">
        <v>78</v>
      </c>
      <c r="G23" t="s">
        <v>106</v>
      </c>
      <c r="I23" t="s">
        <v>78</v>
      </c>
      <c r="J23">
        <v>40</v>
      </c>
      <c r="N23" t="s">
        <v>78</v>
      </c>
      <c r="O23" s="8">
        <v>1</v>
      </c>
      <c r="P23" s="8">
        <v>0</v>
      </c>
      <c r="Q23" s="2"/>
      <c r="R23" s="2" t="s">
        <v>80</v>
      </c>
      <c r="S23" s="8"/>
      <c r="T23">
        <v>35000</v>
      </c>
      <c r="U23">
        <v>30000</v>
      </c>
      <c r="V23" t="s">
        <v>78</v>
      </c>
      <c r="AA23" t="s">
        <v>78</v>
      </c>
      <c r="AB23">
        <v>20000</v>
      </c>
      <c r="AE23" t="s">
        <v>83</v>
      </c>
      <c r="AF23">
        <v>1</v>
      </c>
      <c r="AG23">
        <v>0</v>
      </c>
      <c r="AH23">
        <v>0</v>
      </c>
      <c r="AI23">
        <v>0</v>
      </c>
      <c r="AV23" t="s">
        <v>103</v>
      </c>
      <c r="AW23">
        <v>1</v>
      </c>
      <c r="AX23">
        <v>0</v>
      </c>
      <c r="AY23">
        <v>0</v>
      </c>
      <c r="AZ23">
        <v>0</v>
      </c>
      <c r="BD23" t="s">
        <v>81</v>
      </c>
      <c r="BF23" t="s">
        <v>81</v>
      </c>
      <c r="BN23">
        <f t="shared" si="0"/>
        <v>39</v>
      </c>
    </row>
    <row r="24" spans="1:66" ht="16" x14ac:dyDescent="0.2">
      <c r="A24" t="s">
        <v>78</v>
      </c>
      <c r="G24" t="s">
        <v>102</v>
      </c>
      <c r="I24" t="s">
        <v>78</v>
      </c>
      <c r="J24">
        <v>3</v>
      </c>
      <c r="K24">
        <v>0</v>
      </c>
      <c r="L24">
        <v>3</v>
      </c>
      <c r="M24" t="s">
        <v>98</v>
      </c>
      <c r="N24" t="s">
        <v>78</v>
      </c>
      <c r="O24" s="8">
        <v>1</v>
      </c>
      <c r="P24" s="8">
        <v>0</v>
      </c>
      <c r="Q24" s="2" t="s">
        <v>169</v>
      </c>
      <c r="R24" s="2"/>
      <c r="S24" s="8"/>
      <c r="T24">
        <v>1000</v>
      </c>
      <c r="U24">
        <v>1000</v>
      </c>
      <c r="V24" t="s">
        <v>81</v>
      </c>
      <c r="X24" t="s">
        <v>78</v>
      </c>
      <c r="AA24" t="s">
        <v>78</v>
      </c>
      <c r="AB24">
        <v>0</v>
      </c>
      <c r="AC24" t="s">
        <v>82</v>
      </c>
      <c r="AR24" t="s">
        <v>170</v>
      </c>
      <c r="AV24" t="s">
        <v>116</v>
      </c>
      <c r="AW24">
        <v>0</v>
      </c>
      <c r="AX24">
        <v>0</v>
      </c>
      <c r="AY24">
        <v>1</v>
      </c>
      <c r="AZ24">
        <v>0</v>
      </c>
      <c r="BD24" t="s">
        <v>81</v>
      </c>
      <c r="BF24" t="s">
        <v>81</v>
      </c>
      <c r="BN24">
        <f t="shared" si="0"/>
        <v>38</v>
      </c>
    </row>
    <row r="25" spans="1:66" ht="16" x14ac:dyDescent="0.2">
      <c r="A25" t="s">
        <v>78</v>
      </c>
      <c r="G25" t="s">
        <v>102</v>
      </c>
      <c r="I25" t="s">
        <v>78</v>
      </c>
      <c r="J25">
        <v>6</v>
      </c>
      <c r="K25">
        <v>2</v>
      </c>
      <c r="L25">
        <v>6</v>
      </c>
      <c r="M25" t="s">
        <v>98</v>
      </c>
      <c r="N25" t="s">
        <v>78</v>
      </c>
      <c r="O25" s="8">
        <v>1</v>
      </c>
      <c r="P25" s="8">
        <v>0</v>
      </c>
      <c r="Q25" s="2" t="s">
        <v>173</v>
      </c>
      <c r="R25" s="2" t="s">
        <v>80</v>
      </c>
      <c r="S25" s="8"/>
      <c r="T25">
        <v>4000</v>
      </c>
      <c r="U25">
        <v>3500</v>
      </c>
      <c r="V25" t="s">
        <v>81</v>
      </c>
      <c r="X25" t="s">
        <v>78</v>
      </c>
      <c r="AA25" t="s">
        <v>78</v>
      </c>
      <c r="AB25">
        <v>500</v>
      </c>
      <c r="AC25" t="s">
        <v>82</v>
      </c>
      <c r="AE25" t="s">
        <v>83</v>
      </c>
      <c r="AF25">
        <v>1</v>
      </c>
      <c r="AG25">
        <v>0</v>
      </c>
      <c r="AH25">
        <v>0</v>
      </c>
      <c r="AI25">
        <v>0</v>
      </c>
      <c r="AR25" t="s">
        <v>174</v>
      </c>
      <c r="AV25" t="s">
        <v>94</v>
      </c>
      <c r="AW25">
        <v>0</v>
      </c>
      <c r="AX25">
        <v>0</v>
      </c>
      <c r="AY25">
        <v>0</v>
      </c>
      <c r="AZ25">
        <v>1</v>
      </c>
      <c r="BD25" t="s">
        <v>81</v>
      </c>
      <c r="BF25" t="s">
        <v>78</v>
      </c>
      <c r="BN25">
        <f t="shared" si="0"/>
        <v>32</v>
      </c>
    </row>
    <row r="26" spans="1:66" x14ac:dyDescent="0.2">
      <c r="A26" t="s">
        <v>78</v>
      </c>
      <c r="G26" t="s">
        <v>102</v>
      </c>
      <c r="I26" t="s">
        <v>78</v>
      </c>
      <c r="J26">
        <v>0</v>
      </c>
      <c r="K26">
        <v>0</v>
      </c>
      <c r="L26">
        <v>0</v>
      </c>
      <c r="M26" t="s">
        <v>81</v>
      </c>
      <c r="N26" t="s">
        <v>81</v>
      </c>
      <c r="O26" s="6">
        <v>0</v>
      </c>
      <c r="P26" s="6">
        <v>1</v>
      </c>
      <c r="Q26" s="2"/>
      <c r="R26" s="2"/>
      <c r="S26" s="8"/>
      <c r="T26">
        <v>900</v>
      </c>
      <c r="U26">
        <v>900</v>
      </c>
      <c r="V26" t="s">
        <v>81</v>
      </c>
      <c r="X26" t="s">
        <v>81</v>
      </c>
      <c r="AA26" t="s">
        <v>81</v>
      </c>
      <c r="AB26">
        <v>0</v>
      </c>
      <c r="AC26" t="s">
        <v>82</v>
      </c>
      <c r="BD26" t="s">
        <v>81</v>
      </c>
      <c r="BF26" t="s">
        <v>81</v>
      </c>
      <c r="BN26">
        <f t="shared" si="0"/>
        <v>45</v>
      </c>
    </row>
    <row r="27" spans="1:66" x14ac:dyDescent="0.2">
      <c r="A27" t="s">
        <v>78</v>
      </c>
      <c r="G27" t="s">
        <v>102</v>
      </c>
      <c r="I27" t="s">
        <v>78</v>
      </c>
      <c r="J27">
        <v>2</v>
      </c>
      <c r="K27">
        <v>0</v>
      </c>
      <c r="L27">
        <v>1</v>
      </c>
      <c r="M27" t="s">
        <v>81</v>
      </c>
      <c r="N27" t="s">
        <v>78</v>
      </c>
      <c r="O27" s="8">
        <v>1</v>
      </c>
      <c r="P27" s="8">
        <v>0</v>
      </c>
      <c r="Q27" s="2"/>
      <c r="R27" s="2"/>
      <c r="S27" s="8"/>
      <c r="T27">
        <v>1000</v>
      </c>
      <c r="U27">
        <v>1000</v>
      </c>
      <c r="V27" t="s">
        <v>81</v>
      </c>
      <c r="X27" t="s">
        <v>81</v>
      </c>
      <c r="AA27" t="s">
        <v>81</v>
      </c>
      <c r="AB27">
        <v>0</v>
      </c>
      <c r="AC27" t="s">
        <v>82</v>
      </c>
      <c r="BD27" t="s">
        <v>81</v>
      </c>
      <c r="BF27" t="s">
        <v>81</v>
      </c>
      <c r="BN27">
        <f t="shared" si="0"/>
        <v>45</v>
      </c>
    </row>
    <row r="28" spans="1:66" x14ac:dyDescent="0.2">
      <c r="A28" t="s">
        <v>78</v>
      </c>
      <c r="G28" t="s">
        <v>102</v>
      </c>
      <c r="I28" t="s">
        <v>78</v>
      </c>
      <c r="J28">
        <v>1</v>
      </c>
      <c r="K28">
        <v>1</v>
      </c>
      <c r="L28">
        <v>1</v>
      </c>
      <c r="M28" t="s">
        <v>81</v>
      </c>
      <c r="N28" t="s">
        <v>78</v>
      </c>
      <c r="O28" s="8">
        <v>1</v>
      </c>
      <c r="P28" s="8">
        <v>0</v>
      </c>
      <c r="Q28" s="2"/>
      <c r="R28" s="2"/>
      <c r="S28" s="8"/>
      <c r="T28">
        <v>1200</v>
      </c>
      <c r="U28">
        <v>1200</v>
      </c>
      <c r="V28" t="s">
        <v>81</v>
      </c>
      <c r="X28" t="s">
        <v>81</v>
      </c>
      <c r="AA28" t="s">
        <v>81</v>
      </c>
      <c r="AC28" t="s">
        <v>82</v>
      </c>
      <c r="BD28" t="s">
        <v>81</v>
      </c>
      <c r="BF28" t="s">
        <v>81</v>
      </c>
      <c r="BN28">
        <f t="shared" si="0"/>
        <v>46</v>
      </c>
    </row>
    <row r="29" spans="1:66" ht="16" x14ac:dyDescent="0.2">
      <c r="G29" t="s">
        <v>106</v>
      </c>
      <c r="I29" t="s">
        <v>81</v>
      </c>
      <c r="J29">
        <v>15</v>
      </c>
      <c r="K29">
        <v>0</v>
      </c>
      <c r="L29">
        <v>0</v>
      </c>
      <c r="M29" t="s">
        <v>81</v>
      </c>
      <c r="N29" t="s">
        <v>78</v>
      </c>
      <c r="O29" s="8">
        <v>1</v>
      </c>
      <c r="P29" s="8">
        <v>0</v>
      </c>
      <c r="Q29" s="2" t="s">
        <v>183</v>
      </c>
      <c r="R29" s="2" t="s">
        <v>80</v>
      </c>
      <c r="S29" s="8"/>
      <c r="T29">
        <v>40000</v>
      </c>
      <c r="U29">
        <v>25000</v>
      </c>
      <c r="V29" t="s">
        <v>81</v>
      </c>
      <c r="X29" t="s">
        <v>81</v>
      </c>
      <c r="AA29" t="s">
        <v>81</v>
      </c>
      <c r="AB29">
        <v>10000</v>
      </c>
      <c r="AC29" t="s">
        <v>82</v>
      </c>
      <c r="AE29" t="s">
        <v>83</v>
      </c>
      <c r="AF29">
        <v>1</v>
      </c>
      <c r="AG29">
        <v>0</v>
      </c>
      <c r="AH29">
        <v>0</v>
      </c>
      <c r="AI29">
        <v>0</v>
      </c>
      <c r="AR29" t="s">
        <v>81</v>
      </c>
      <c r="BD29" t="s">
        <v>81</v>
      </c>
      <c r="BF29" t="s">
        <v>81</v>
      </c>
      <c r="BN29">
        <f t="shared" si="0"/>
        <v>38</v>
      </c>
    </row>
    <row r="30" spans="1:66" ht="16" x14ac:dyDescent="0.2">
      <c r="A30" t="s">
        <v>78</v>
      </c>
      <c r="G30" t="s">
        <v>106</v>
      </c>
      <c r="I30" t="s">
        <v>81</v>
      </c>
      <c r="J30">
        <v>3</v>
      </c>
      <c r="K30">
        <v>2</v>
      </c>
      <c r="L30">
        <v>3</v>
      </c>
      <c r="M30" t="s">
        <v>81</v>
      </c>
      <c r="N30" t="s">
        <v>78</v>
      </c>
      <c r="O30" s="8">
        <v>1</v>
      </c>
      <c r="P30" s="8">
        <v>0</v>
      </c>
      <c r="Q30" s="2" t="s">
        <v>186</v>
      </c>
      <c r="R30" s="2" t="s">
        <v>80</v>
      </c>
      <c r="S30" s="8"/>
      <c r="V30" t="s">
        <v>81</v>
      </c>
      <c r="X30" t="s">
        <v>78</v>
      </c>
      <c r="AA30" t="s">
        <v>81</v>
      </c>
      <c r="AC30" t="s">
        <v>92</v>
      </c>
      <c r="AE30" t="s">
        <v>83</v>
      </c>
      <c r="AF30">
        <v>1</v>
      </c>
      <c r="AG30">
        <v>0</v>
      </c>
      <c r="AH30">
        <v>0</v>
      </c>
      <c r="AI30">
        <v>0</v>
      </c>
      <c r="AR30" t="s">
        <v>187</v>
      </c>
      <c r="AV30" t="s">
        <v>94</v>
      </c>
      <c r="AW30">
        <v>0</v>
      </c>
      <c r="AX30">
        <v>0</v>
      </c>
      <c r="AY30">
        <v>0</v>
      </c>
      <c r="AZ30">
        <v>1</v>
      </c>
      <c r="BD30" t="s">
        <v>81</v>
      </c>
      <c r="BF30" t="s">
        <v>81</v>
      </c>
      <c r="BN30">
        <f t="shared" si="0"/>
        <v>35</v>
      </c>
    </row>
    <row r="31" spans="1:66" ht="16" x14ac:dyDescent="0.2">
      <c r="A31" t="s">
        <v>78</v>
      </c>
      <c r="G31" t="s">
        <v>97</v>
      </c>
      <c r="I31" t="s">
        <v>78</v>
      </c>
      <c r="J31">
        <v>5</v>
      </c>
      <c r="K31">
        <v>2</v>
      </c>
      <c r="L31">
        <v>4</v>
      </c>
      <c r="M31" t="s">
        <v>81</v>
      </c>
      <c r="N31" t="s">
        <v>78</v>
      </c>
      <c r="O31" s="8">
        <v>1</v>
      </c>
      <c r="P31" s="8">
        <v>0</v>
      </c>
      <c r="Q31" s="2" t="s">
        <v>190</v>
      </c>
      <c r="R31" s="2" t="s">
        <v>80</v>
      </c>
      <c r="S31" s="8"/>
      <c r="T31">
        <v>5000</v>
      </c>
      <c r="U31">
        <v>5000</v>
      </c>
      <c r="V31" t="s">
        <v>81</v>
      </c>
      <c r="X31" t="s">
        <v>78</v>
      </c>
      <c r="AA31" t="s">
        <v>81</v>
      </c>
      <c r="AC31" t="s">
        <v>92</v>
      </c>
      <c r="AE31" t="s">
        <v>83</v>
      </c>
      <c r="AF31">
        <v>1</v>
      </c>
      <c r="AG31">
        <v>0</v>
      </c>
      <c r="AH31">
        <v>0</v>
      </c>
      <c r="AI31">
        <v>0</v>
      </c>
      <c r="AR31" t="s">
        <v>191</v>
      </c>
      <c r="AV31" t="s">
        <v>103</v>
      </c>
      <c r="AW31">
        <v>1</v>
      </c>
      <c r="AX31">
        <v>0</v>
      </c>
      <c r="AY31">
        <v>0</v>
      </c>
      <c r="AZ31">
        <v>0</v>
      </c>
      <c r="BD31" t="s">
        <v>81</v>
      </c>
      <c r="BF31" t="s">
        <v>78</v>
      </c>
      <c r="BN31">
        <f t="shared" si="0"/>
        <v>33</v>
      </c>
    </row>
    <row r="32" spans="1:66" ht="16" x14ac:dyDescent="0.2">
      <c r="A32" t="s">
        <v>78</v>
      </c>
      <c r="G32" t="s">
        <v>97</v>
      </c>
      <c r="I32" t="s">
        <v>78</v>
      </c>
      <c r="J32">
        <v>5</v>
      </c>
      <c r="K32">
        <v>5</v>
      </c>
      <c r="L32">
        <v>5</v>
      </c>
      <c r="M32" t="s">
        <v>81</v>
      </c>
      <c r="N32" t="s">
        <v>78</v>
      </c>
      <c r="O32" s="8">
        <v>1</v>
      </c>
      <c r="P32" s="8">
        <v>0</v>
      </c>
      <c r="Q32" s="2" t="s">
        <v>194</v>
      </c>
      <c r="R32" s="2" t="s">
        <v>80</v>
      </c>
      <c r="S32" s="8"/>
      <c r="T32">
        <v>6000</v>
      </c>
      <c r="U32">
        <v>3500</v>
      </c>
      <c r="V32" t="s">
        <v>81</v>
      </c>
      <c r="X32" t="s">
        <v>81</v>
      </c>
      <c r="AA32" t="s">
        <v>81</v>
      </c>
      <c r="AB32">
        <v>0</v>
      </c>
      <c r="AC32" t="s">
        <v>92</v>
      </c>
      <c r="AE32" t="s">
        <v>134</v>
      </c>
      <c r="AF32">
        <v>0</v>
      </c>
      <c r="AG32">
        <v>0</v>
      </c>
      <c r="AH32">
        <v>0</v>
      </c>
      <c r="AI32">
        <v>1</v>
      </c>
      <c r="AR32" t="s">
        <v>81</v>
      </c>
      <c r="BD32" t="s">
        <v>81</v>
      </c>
      <c r="BF32" t="s">
        <v>78</v>
      </c>
      <c r="BN32">
        <f t="shared" si="0"/>
        <v>37</v>
      </c>
    </row>
    <row r="33" spans="1:66" x14ac:dyDescent="0.2">
      <c r="O33" s="6"/>
      <c r="P33" s="6"/>
      <c r="Q33" s="2"/>
      <c r="R33" s="2"/>
      <c r="S33" s="8"/>
      <c r="V33" t="s">
        <v>81</v>
      </c>
      <c r="BN33">
        <f t="shared" si="0"/>
        <v>63</v>
      </c>
    </row>
    <row r="34" spans="1:66" ht="16" x14ac:dyDescent="0.2">
      <c r="G34" t="s">
        <v>106</v>
      </c>
      <c r="I34" t="s">
        <v>78</v>
      </c>
      <c r="J34">
        <v>9</v>
      </c>
      <c r="K34">
        <v>0</v>
      </c>
      <c r="L34">
        <v>8</v>
      </c>
      <c r="M34" t="s">
        <v>81</v>
      </c>
      <c r="N34" t="s">
        <v>78</v>
      </c>
      <c r="O34" s="8">
        <v>1</v>
      </c>
      <c r="P34" s="8">
        <v>0</v>
      </c>
      <c r="Q34" s="2" t="s">
        <v>199</v>
      </c>
      <c r="R34" s="2" t="s">
        <v>80</v>
      </c>
      <c r="S34" s="8"/>
      <c r="T34">
        <v>60000</v>
      </c>
      <c r="U34">
        <v>30000</v>
      </c>
      <c r="V34" t="s">
        <v>81</v>
      </c>
      <c r="X34" t="s">
        <v>81</v>
      </c>
      <c r="AA34" t="s">
        <v>81</v>
      </c>
      <c r="AB34">
        <v>12000</v>
      </c>
      <c r="AC34" t="s">
        <v>82</v>
      </c>
      <c r="AE34" t="s">
        <v>83</v>
      </c>
      <c r="AF34">
        <v>1</v>
      </c>
      <c r="AG34">
        <v>0</v>
      </c>
      <c r="AH34">
        <v>0</v>
      </c>
      <c r="AI34">
        <v>0</v>
      </c>
      <c r="AR34" t="s">
        <v>81</v>
      </c>
      <c r="AV34" t="s">
        <v>94</v>
      </c>
      <c r="AW34">
        <v>0</v>
      </c>
      <c r="AX34">
        <v>0</v>
      </c>
      <c r="AY34">
        <v>0</v>
      </c>
      <c r="AZ34">
        <v>1</v>
      </c>
      <c r="BD34" t="s">
        <v>81</v>
      </c>
      <c r="BF34" t="s">
        <v>81</v>
      </c>
      <c r="BN34">
        <f t="shared" si="0"/>
        <v>33</v>
      </c>
    </row>
    <row r="35" spans="1:66" ht="16" x14ac:dyDescent="0.2">
      <c r="A35" t="s">
        <v>78</v>
      </c>
      <c r="G35" t="s">
        <v>97</v>
      </c>
      <c r="I35" t="s">
        <v>78</v>
      </c>
      <c r="J35">
        <v>12</v>
      </c>
      <c r="K35">
        <v>5</v>
      </c>
      <c r="L35">
        <v>12</v>
      </c>
      <c r="M35" t="s">
        <v>81</v>
      </c>
      <c r="N35" t="s">
        <v>78</v>
      </c>
      <c r="O35" s="8">
        <v>1</v>
      </c>
      <c r="P35" s="8">
        <v>0</v>
      </c>
      <c r="Q35" s="2" t="s">
        <v>202</v>
      </c>
      <c r="R35" s="2" t="s">
        <v>80</v>
      </c>
      <c r="S35" s="8"/>
      <c r="T35">
        <v>4000</v>
      </c>
      <c r="U35">
        <v>4000</v>
      </c>
      <c r="V35" t="s">
        <v>81</v>
      </c>
      <c r="X35" t="s">
        <v>81</v>
      </c>
      <c r="AA35" t="s">
        <v>81</v>
      </c>
      <c r="AC35" t="s">
        <v>92</v>
      </c>
      <c r="AE35" t="s">
        <v>83</v>
      </c>
      <c r="AF35">
        <v>1</v>
      </c>
      <c r="AG35">
        <v>0</v>
      </c>
      <c r="AH35">
        <v>0</v>
      </c>
      <c r="AI35">
        <v>0</v>
      </c>
      <c r="AR35" t="s">
        <v>203</v>
      </c>
      <c r="AV35" t="s">
        <v>84</v>
      </c>
      <c r="AW35">
        <v>1</v>
      </c>
      <c r="AX35">
        <v>0</v>
      </c>
      <c r="AY35">
        <v>1</v>
      </c>
      <c r="AZ35">
        <v>0</v>
      </c>
      <c r="BD35" t="s">
        <v>81</v>
      </c>
      <c r="BF35" t="s">
        <v>78</v>
      </c>
      <c r="BN35">
        <f t="shared" si="0"/>
        <v>33</v>
      </c>
    </row>
    <row r="36" spans="1:66" x14ac:dyDescent="0.2">
      <c r="A36" t="s">
        <v>78</v>
      </c>
      <c r="G36" t="s">
        <v>102</v>
      </c>
      <c r="I36" t="s">
        <v>78</v>
      </c>
      <c r="J36">
        <v>12</v>
      </c>
      <c r="K36">
        <v>0</v>
      </c>
      <c r="L36">
        <v>12</v>
      </c>
      <c r="M36" t="s">
        <v>98</v>
      </c>
      <c r="N36" t="s">
        <v>78</v>
      </c>
      <c r="O36" s="8">
        <v>1</v>
      </c>
      <c r="P36" s="8">
        <v>0</v>
      </c>
      <c r="Q36" s="2"/>
      <c r="R36" s="2"/>
      <c r="S36" s="8"/>
      <c r="T36">
        <v>3000</v>
      </c>
      <c r="U36">
        <v>3000</v>
      </c>
      <c r="V36" t="s">
        <v>81</v>
      </c>
      <c r="X36" t="s">
        <v>78</v>
      </c>
      <c r="AA36" t="s">
        <v>81</v>
      </c>
      <c r="AB36">
        <v>0</v>
      </c>
      <c r="AC36" t="s">
        <v>82</v>
      </c>
      <c r="AV36" t="s">
        <v>116</v>
      </c>
      <c r="AW36">
        <v>0</v>
      </c>
      <c r="AX36">
        <v>0</v>
      </c>
      <c r="AY36">
        <v>1</v>
      </c>
      <c r="AZ36">
        <v>0</v>
      </c>
      <c r="BD36" t="s">
        <v>81</v>
      </c>
      <c r="BF36" t="s">
        <v>81</v>
      </c>
      <c r="BN36">
        <f t="shared" si="0"/>
        <v>40</v>
      </c>
    </row>
    <row r="37" spans="1:66" ht="16" x14ac:dyDescent="0.2">
      <c r="A37" t="s">
        <v>78</v>
      </c>
      <c r="G37" t="s">
        <v>106</v>
      </c>
      <c r="I37" t="s">
        <v>78</v>
      </c>
      <c r="J37">
        <v>5</v>
      </c>
      <c r="K37">
        <v>0</v>
      </c>
      <c r="L37">
        <v>2</v>
      </c>
      <c r="M37" t="s">
        <v>81</v>
      </c>
      <c r="N37" t="s">
        <v>78</v>
      </c>
      <c r="O37" s="8">
        <v>1</v>
      </c>
      <c r="P37" s="8">
        <v>0</v>
      </c>
      <c r="Q37" s="2" t="s">
        <v>208</v>
      </c>
      <c r="R37" s="2" t="s">
        <v>80</v>
      </c>
      <c r="S37" s="8"/>
      <c r="T37">
        <v>18000</v>
      </c>
      <c r="U37">
        <v>15000</v>
      </c>
      <c r="V37" t="s">
        <v>81</v>
      </c>
      <c r="X37" t="s">
        <v>81</v>
      </c>
      <c r="AA37" t="s">
        <v>81</v>
      </c>
      <c r="AB37">
        <v>4000</v>
      </c>
      <c r="AC37" t="s">
        <v>82</v>
      </c>
      <c r="AE37" t="s">
        <v>83</v>
      </c>
      <c r="AF37">
        <v>1</v>
      </c>
      <c r="AG37">
        <v>0</v>
      </c>
      <c r="AH37">
        <v>0</v>
      </c>
      <c r="AI37">
        <v>0</v>
      </c>
      <c r="AV37" t="s">
        <v>209</v>
      </c>
      <c r="AW37">
        <v>1</v>
      </c>
      <c r="AX37">
        <v>1</v>
      </c>
      <c r="AY37">
        <v>0</v>
      </c>
      <c r="AZ37">
        <v>0</v>
      </c>
      <c r="BD37" t="s">
        <v>81</v>
      </c>
      <c r="BF37" t="s">
        <v>81</v>
      </c>
      <c r="BN37">
        <f t="shared" si="0"/>
        <v>33</v>
      </c>
    </row>
    <row r="38" spans="1:66" ht="48" x14ac:dyDescent="0.2">
      <c r="A38" t="s">
        <v>78</v>
      </c>
      <c r="G38" t="s">
        <v>106</v>
      </c>
      <c r="I38" t="s">
        <v>78</v>
      </c>
      <c r="J38">
        <v>29</v>
      </c>
      <c r="K38">
        <v>20</v>
      </c>
      <c r="L38">
        <v>24</v>
      </c>
      <c r="M38" t="s">
        <v>98</v>
      </c>
      <c r="N38" t="s">
        <v>78</v>
      </c>
      <c r="O38" s="8">
        <v>1</v>
      </c>
      <c r="P38" s="8">
        <v>0</v>
      </c>
      <c r="Q38" s="2" t="s">
        <v>212</v>
      </c>
      <c r="R38" s="2" t="s">
        <v>80</v>
      </c>
      <c r="S38" s="8"/>
      <c r="T38">
        <v>100000</v>
      </c>
      <c r="U38">
        <v>100000</v>
      </c>
      <c r="V38" t="s">
        <v>81</v>
      </c>
      <c r="X38" t="s">
        <v>78</v>
      </c>
      <c r="AA38" t="s">
        <v>78</v>
      </c>
      <c r="AB38">
        <v>400000</v>
      </c>
      <c r="AC38" t="s">
        <v>92</v>
      </c>
      <c r="AE38" t="s">
        <v>83</v>
      </c>
      <c r="AF38">
        <v>1</v>
      </c>
      <c r="AG38">
        <v>0</v>
      </c>
      <c r="AH38">
        <v>0</v>
      </c>
      <c r="AI38">
        <v>0</v>
      </c>
      <c r="AR38" t="s">
        <v>213</v>
      </c>
      <c r="AV38" t="s">
        <v>94</v>
      </c>
      <c r="AW38">
        <v>0</v>
      </c>
      <c r="AX38">
        <v>0</v>
      </c>
      <c r="AY38">
        <v>0</v>
      </c>
      <c r="AZ38">
        <v>1</v>
      </c>
      <c r="BD38" t="s">
        <v>78</v>
      </c>
      <c r="BF38" t="s">
        <v>78</v>
      </c>
      <c r="BN38">
        <f t="shared" si="0"/>
        <v>32</v>
      </c>
    </row>
    <row r="39" spans="1:66" ht="32" x14ac:dyDescent="0.2">
      <c r="A39" t="s">
        <v>78</v>
      </c>
      <c r="G39" t="s">
        <v>106</v>
      </c>
      <c r="I39" t="s">
        <v>78</v>
      </c>
      <c r="L39">
        <v>3</v>
      </c>
      <c r="M39" t="s">
        <v>81</v>
      </c>
      <c r="N39" t="s">
        <v>78</v>
      </c>
      <c r="O39" s="8">
        <v>1</v>
      </c>
      <c r="P39" s="8">
        <v>0</v>
      </c>
      <c r="Q39" s="2" t="s">
        <v>216</v>
      </c>
      <c r="R39" s="2" t="s">
        <v>80</v>
      </c>
      <c r="S39" s="8"/>
      <c r="T39">
        <v>25000</v>
      </c>
      <c r="U39">
        <v>18000</v>
      </c>
      <c r="V39" t="s">
        <v>81</v>
      </c>
      <c r="X39" t="s">
        <v>78</v>
      </c>
      <c r="AA39" t="s">
        <v>78</v>
      </c>
      <c r="AC39" t="s">
        <v>142</v>
      </c>
      <c r="AE39" t="s">
        <v>83</v>
      </c>
      <c r="AF39">
        <v>1</v>
      </c>
      <c r="AG39">
        <v>0</v>
      </c>
      <c r="AH39">
        <v>0</v>
      </c>
      <c r="AI39">
        <v>0</v>
      </c>
      <c r="AR39" t="s">
        <v>217</v>
      </c>
      <c r="AV39" t="s">
        <v>218</v>
      </c>
      <c r="AW39">
        <v>0</v>
      </c>
      <c r="AX39">
        <v>1</v>
      </c>
      <c r="AY39">
        <v>1</v>
      </c>
      <c r="AZ39">
        <v>0</v>
      </c>
      <c r="BD39" t="s">
        <v>81</v>
      </c>
      <c r="BF39" t="s">
        <v>81</v>
      </c>
      <c r="BN39">
        <f t="shared" si="0"/>
        <v>35</v>
      </c>
    </row>
    <row r="40" spans="1:66" ht="32" x14ac:dyDescent="0.2">
      <c r="A40" t="s">
        <v>78</v>
      </c>
      <c r="G40" t="s">
        <v>102</v>
      </c>
      <c r="I40" t="s">
        <v>78</v>
      </c>
      <c r="J40">
        <v>0</v>
      </c>
      <c r="K40">
        <v>0</v>
      </c>
      <c r="L40">
        <v>0</v>
      </c>
      <c r="M40" t="s">
        <v>81</v>
      </c>
      <c r="N40" t="s">
        <v>78</v>
      </c>
      <c r="O40" s="8">
        <v>1</v>
      </c>
      <c r="P40" s="8">
        <v>0</v>
      </c>
      <c r="Q40" s="2" t="s">
        <v>221</v>
      </c>
      <c r="R40" s="2" t="s">
        <v>80</v>
      </c>
      <c r="S40" s="8"/>
      <c r="T40">
        <v>2000</v>
      </c>
      <c r="U40">
        <v>1800</v>
      </c>
      <c r="V40" t="s">
        <v>81</v>
      </c>
      <c r="X40" t="s">
        <v>81</v>
      </c>
      <c r="AA40" t="s">
        <v>81</v>
      </c>
      <c r="AB40">
        <v>50</v>
      </c>
      <c r="AC40" t="s">
        <v>92</v>
      </c>
      <c r="AE40" t="s">
        <v>83</v>
      </c>
      <c r="AF40">
        <v>1</v>
      </c>
      <c r="AG40">
        <v>0</v>
      </c>
      <c r="AH40">
        <v>0</v>
      </c>
      <c r="AI40">
        <v>0</v>
      </c>
      <c r="AR40" t="s">
        <v>93</v>
      </c>
      <c r="BD40" t="s">
        <v>81</v>
      </c>
      <c r="BF40" t="s">
        <v>78</v>
      </c>
      <c r="BN40">
        <f t="shared" si="0"/>
        <v>37</v>
      </c>
    </row>
    <row r="41" spans="1:66" ht="16" x14ac:dyDescent="0.2">
      <c r="A41" t="s">
        <v>78</v>
      </c>
      <c r="G41" t="s">
        <v>106</v>
      </c>
      <c r="I41" t="s">
        <v>78</v>
      </c>
      <c r="J41">
        <v>8</v>
      </c>
      <c r="K41">
        <v>0</v>
      </c>
      <c r="L41">
        <v>0</v>
      </c>
      <c r="M41" t="s">
        <v>81</v>
      </c>
      <c r="N41" t="s">
        <v>78</v>
      </c>
      <c r="O41" s="8">
        <v>1</v>
      </c>
      <c r="P41" s="8">
        <v>0</v>
      </c>
      <c r="Q41" s="2" t="s">
        <v>160</v>
      </c>
      <c r="R41" s="2" t="s">
        <v>80</v>
      </c>
      <c r="S41" s="8"/>
      <c r="T41">
        <v>21000</v>
      </c>
      <c r="V41" t="s">
        <v>81</v>
      </c>
      <c r="X41" t="s">
        <v>81</v>
      </c>
      <c r="AA41" t="s">
        <v>81</v>
      </c>
      <c r="AB41">
        <v>2000</v>
      </c>
      <c r="AC41" t="s">
        <v>142</v>
      </c>
      <c r="AE41" t="s">
        <v>83</v>
      </c>
      <c r="AF41">
        <v>1</v>
      </c>
      <c r="AG41">
        <v>0</v>
      </c>
      <c r="AH41">
        <v>0</v>
      </c>
      <c r="AI41">
        <v>0</v>
      </c>
      <c r="AR41" t="s">
        <v>224</v>
      </c>
      <c r="AV41" t="s">
        <v>103</v>
      </c>
      <c r="AW41">
        <v>1</v>
      </c>
      <c r="AX41">
        <v>0</v>
      </c>
      <c r="AY41">
        <v>0</v>
      </c>
      <c r="AZ41">
        <v>0</v>
      </c>
      <c r="BD41" t="s">
        <v>81</v>
      </c>
      <c r="BF41" t="s">
        <v>78</v>
      </c>
      <c r="BN41">
        <f t="shared" si="0"/>
        <v>33</v>
      </c>
    </row>
    <row r="42" spans="1:66" ht="16" x14ac:dyDescent="0.2">
      <c r="A42" t="s">
        <v>78</v>
      </c>
      <c r="G42" t="s">
        <v>97</v>
      </c>
      <c r="I42" t="s">
        <v>78</v>
      </c>
      <c r="J42">
        <v>8</v>
      </c>
      <c r="L42">
        <v>8</v>
      </c>
      <c r="M42" t="s">
        <v>81</v>
      </c>
      <c r="N42" t="s">
        <v>78</v>
      </c>
      <c r="O42" s="8">
        <v>1</v>
      </c>
      <c r="P42" s="8">
        <v>0</v>
      </c>
      <c r="Q42" s="2" t="s">
        <v>227</v>
      </c>
      <c r="R42" s="2" t="s">
        <v>80</v>
      </c>
      <c r="S42" s="8"/>
      <c r="T42">
        <v>800</v>
      </c>
      <c r="U42">
        <v>600</v>
      </c>
      <c r="V42" t="s">
        <v>81</v>
      </c>
      <c r="X42" t="s">
        <v>81</v>
      </c>
      <c r="AA42" t="s">
        <v>81</v>
      </c>
      <c r="AB42">
        <v>2000</v>
      </c>
      <c r="AC42" t="s">
        <v>82</v>
      </c>
      <c r="AE42" t="s">
        <v>83</v>
      </c>
      <c r="AF42">
        <v>1</v>
      </c>
      <c r="AG42">
        <v>0</v>
      </c>
      <c r="AH42">
        <v>0</v>
      </c>
      <c r="AI42">
        <v>0</v>
      </c>
      <c r="AR42" t="s">
        <v>228</v>
      </c>
      <c r="BD42" t="s">
        <v>81</v>
      </c>
      <c r="BF42" t="s">
        <v>81</v>
      </c>
      <c r="BN42">
        <f t="shared" si="0"/>
        <v>38</v>
      </c>
    </row>
    <row r="43" spans="1:66" ht="16" x14ac:dyDescent="0.2">
      <c r="A43" t="s">
        <v>78</v>
      </c>
      <c r="G43" t="s">
        <v>97</v>
      </c>
      <c r="I43" t="s">
        <v>78</v>
      </c>
      <c r="J43">
        <v>5</v>
      </c>
      <c r="K43">
        <v>0</v>
      </c>
      <c r="L43">
        <v>5</v>
      </c>
      <c r="M43" t="s">
        <v>81</v>
      </c>
      <c r="N43" t="s">
        <v>78</v>
      </c>
      <c r="O43" s="8">
        <v>1</v>
      </c>
      <c r="P43" s="8">
        <v>0</v>
      </c>
      <c r="Q43" s="2" t="s">
        <v>231</v>
      </c>
      <c r="R43" s="2" t="s">
        <v>80</v>
      </c>
      <c r="S43" s="8"/>
      <c r="T43">
        <v>3000</v>
      </c>
      <c r="U43">
        <v>2500</v>
      </c>
      <c r="V43" t="s">
        <v>81</v>
      </c>
      <c r="X43" t="s">
        <v>81</v>
      </c>
      <c r="AA43" t="s">
        <v>81</v>
      </c>
      <c r="AB43">
        <v>50</v>
      </c>
      <c r="AC43" t="s">
        <v>82</v>
      </c>
      <c r="AE43" t="s">
        <v>83</v>
      </c>
      <c r="AF43">
        <v>1</v>
      </c>
      <c r="AG43">
        <v>0</v>
      </c>
      <c r="AH43">
        <v>0</v>
      </c>
      <c r="AI43">
        <v>0</v>
      </c>
      <c r="AV43" t="s">
        <v>103</v>
      </c>
      <c r="AW43">
        <v>1</v>
      </c>
      <c r="AX43">
        <v>0</v>
      </c>
      <c r="AY43">
        <v>0</v>
      </c>
      <c r="AZ43">
        <v>0</v>
      </c>
      <c r="BD43" t="s">
        <v>81</v>
      </c>
      <c r="BF43" t="s">
        <v>81</v>
      </c>
      <c r="BN43">
        <f t="shared" si="0"/>
        <v>33</v>
      </c>
    </row>
    <row r="44" spans="1:66" ht="16" x14ac:dyDescent="0.2">
      <c r="A44" t="s">
        <v>78</v>
      </c>
      <c r="G44" t="s">
        <v>106</v>
      </c>
      <c r="I44" t="s">
        <v>78</v>
      </c>
      <c r="J44">
        <v>5</v>
      </c>
      <c r="K44">
        <v>0</v>
      </c>
      <c r="L44">
        <v>0</v>
      </c>
      <c r="M44" t="s">
        <v>81</v>
      </c>
      <c r="N44" t="s">
        <v>78</v>
      </c>
      <c r="O44" s="8">
        <v>1</v>
      </c>
      <c r="P44" s="8">
        <v>0</v>
      </c>
      <c r="Q44" s="2" t="s">
        <v>234</v>
      </c>
      <c r="R44" s="2" t="s">
        <v>80</v>
      </c>
      <c r="S44" s="8"/>
      <c r="T44">
        <v>18000</v>
      </c>
      <c r="U44">
        <v>16000</v>
      </c>
      <c r="V44" t="s">
        <v>81</v>
      </c>
      <c r="X44" t="s">
        <v>78</v>
      </c>
      <c r="AA44" t="s">
        <v>78</v>
      </c>
      <c r="AB44">
        <v>0</v>
      </c>
      <c r="AC44" t="s">
        <v>92</v>
      </c>
      <c r="AE44" t="s">
        <v>83</v>
      </c>
      <c r="AF44">
        <v>1</v>
      </c>
      <c r="AG44">
        <v>0</v>
      </c>
      <c r="AH44">
        <v>0</v>
      </c>
      <c r="AI44">
        <v>0</v>
      </c>
      <c r="AR44" t="s">
        <v>235</v>
      </c>
      <c r="AV44" t="s">
        <v>209</v>
      </c>
      <c r="AW44">
        <v>1</v>
      </c>
      <c r="AX44">
        <v>1</v>
      </c>
      <c r="AY44">
        <v>0</v>
      </c>
      <c r="AZ44">
        <v>0</v>
      </c>
      <c r="BD44" t="s">
        <v>81</v>
      </c>
      <c r="BF44" t="s">
        <v>81</v>
      </c>
      <c r="BN44">
        <f t="shared" si="0"/>
        <v>32</v>
      </c>
    </row>
    <row r="45" spans="1:66" ht="16" x14ac:dyDescent="0.2">
      <c r="A45" t="s">
        <v>78</v>
      </c>
      <c r="G45" t="s">
        <v>106</v>
      </c>
      <c r="I45" t="s">
        <v>81</v>
      </c>
      <c r="J45">
        <v>13</v>
      </c>
      <c r="K45">
        <v>0</v>
      </c>
      <c r="L45">
        <v>13</v>
      </c>
      <c r="M45" t="s">
        <v>98</v>
      </c>
      <c r="N45" t="s">
        <v>78</v>
      </c>
      <c r="O45" s="8">
        <v>1</v>
      </c>
      <c r="P45" s="8">
        <v>0</v>
      </c>
      <c r="Q45" s="2" t="s">
        <v>238</v>
      </c>
      <c r="R45" s="2" t="s">
        <v>80</v>
      </c>
      <c r="S45" s="8"/>
      <c r="T45">
        <v>30000</v>
      </c>
      <c r="U45">
        <v>25000</v>
      </c>
      <c r="V45" t="s">
        <v>81</v>
      </c>
      <c r="X45" t="s">
        <v>78</v>
      </c>
      <c r="AA45" t="s">
        <v>78</v>
      </c>
      <c r="AB45">
        <v>0</v>
      </c>
      <c r="AC45" t="s">
        <v>92</v>
      </c>
      <c r="AE45" t="s">
        <v>83</v>
      </c>
      <c r="AF45">
        <v>1</v>
      </c>
      <c r="AG45">
        <v>0</v>
      </c>
      <c r="AH45">
        <v>0</v>
      </c>
      <c r="AI45">
        <v>0</v>
      </c>
      <c r="AR45" t="s">
        <v>239</v>
      </c>
      <c r="AV45" t="s">
        <v>153</v>
      </c>
      <c r="AW45">
        <v>1</v>
      </c>
      <c r="AX45">
        <v>1</v>
      </c>
      <c r="AY45">
        <v>1</v>
      </c>
      <c r="AZ45">
        <v>0</v>
      </c>
      <c r="BD45" t="s">
        <v>81</v>
      </c>
      <c r="BF45" t="s">
        <v>78</v>
      </c>
      <c r="BN45">
        <f t="shared" si="0"/>
        <v>32</v>
      </c>
    </row>
    <row r="46" spans="1:66" ht="16" x14ac:dyDescent="0.2">
      <c r="A46" t="s">
        <v>78</v>
      </c>
      <c r="G46" t="s">
        <v>102</v>
      </c>
      <c r="I46" t="s">
        <v>81</v>
      </c>
      <c r="J46">
        <v>3</v>
      </c>
      <c r="K46">
        <v>0</v>
      </c>
      <c r="L46">
        <v>0</v>
      </c>
      <c r="M46" t="s">
        <v>81</v>
      </c>
      <c r="N46" t="s">
        <v>78</v>
      </c>
      <c r="O46" s="8">
        <v>1</v>
      </c>
      <c r="P46" s="8">
        <v>0</v>
      </c>
      <c r="Q46" s="2" t="s">
        <v>81</v>
      </c>
      <c r="R46" s="2" t="s">
        <v>80</v>
      </c>
      <c r="S46" s="8"/>
      <c r="T46">
        <v>10000</v>
      </c>
      <c r="U46">
        <v>10000</v>
      </c>
      <c r="V46" t="s">
        <v>81</v>
      </c>
      <c r="X46" t="s">
        <v>81</v>
      </c>
      <c r="AA46" t="s">
        <v>81</v>
      </c>
      <c r="AC46" t="s">
        <v>142</v>
      </c>
      <c r="AE46" t="s">
        <v>83</v>
      </c>
      <c r="AF46">
        <v>1</v>
      </c>
      <c r="AG46">
        <v>0</v>
      </c>
      <c r="AH46">
        <v>0</v>
      </c>
      <c r="AI46">
        <v>0</v>
      </c>
      <c r="AV46" t="s">
        <v>94</v>
      </c>
      <c r="AW46">
        <v>0</v>
      </c>
      <c r="AX46">
        <v>0</v>
      </c>
      <c r="AY46">
        <v>0</v>
      </c>
      <c r="AZ46">
        <v>1</v>
      </c>
      <c r="BD46" t="s">
        <v>81</v>
      </c>
      <c r="BF46" t="s">
        <v>81</v>
      </c>
      <c r="BN46">
        <f t="shared" si="0"/>
        <v>34</v>
      </c>
    </row>
    <row r="47" spans="1:66" ht="16" x14ac:dyDescent="0.2">
      <c r="A47" t="s">
        <v>78</v>
      </c>
      <c r="G47" t="s">
        <v>97</v>
      </c>
      <c r="I47" t="s">
        <v>78</v>
      </c>
      <c r="J47">
        <v>3</v>
      </c>
      <c r="K47">
        <v>0</v>
      </c>
      <c r="L47">
        <v>1</v>
      </c>
      <c r="M47" t="s">
        <v>81</v>
      </c>
      <c r="N47" t="s">
        <v>78</v>
      </c>
      <c r="O47" s="8">
        <v>1</v>
      </c>
      <c r="P47" s="8">
        <v>0</v>
      </c>
      <c r="Q47" s="2" t="s">
        <v>244</v>
      </c>
      <c r="R47" s="2" t="s">
        <v>80</v>
      </c>
      <c r="S47" s="8"/>
      <c r="T47">
        <v>2500</v>
      </c>
      <c r="U47">
        <v>2500</v>
      </c>
      <c r="V47" t="s">
        <v>81</v>
      </c>
      <c r="X47" t="s">
        <v>81</v>
      </c>
      <c r="AA47" t="s">
        <v>81</v>
      </c>
      <c r="AB47">
        <v>500</v>
      </c>
      <c r="AC47" t="s">
        <v>82</v>
      </c>
      <c r="AE47" t="s">
        <v>83</v>
      </c>
      <c r="AF47">
        <v>1</v>
      </c>
      <c r="AG47">
        <v>0</v>
      </c>
      <c r="AH47">
        <v>0</v>
      </c>
      <c r="AI47">
        <v>0</v>
      </c>
      <c r="BD47" t="s">
        <v>81</v>
      </c>
      <c r="BF47" t="s">
        <v>81</v>
      </c>
      <c r="BN47">
        <f t="shared" si="0"/>
        <v>38</v>
      </c>
    </row>
    <row r="48" spans="1:66" ht="16" x14ac:dyDescent="0.2">
      <c r="A48" t="s">
        <v>78</v>
      </c>
      <c r="G48" t="s">
        <v>97</v>
      </c>
      <c r="I48" t="s">
        <v>78</v>
      </c>
      <c r="J48">
        <v>9</v>
      </c>
      <c r="K48">
        <v>1</v>
      </c>
      <c r="L48">
        <v>4</v>
      </c>
      <c r="M48" t="s">
        <v>81</v>
      </c>
      <c r="N48" t="s">
        <v>78</v>
      </c>
      <c r="O48" s="8">
        <v>1</v>
      </c>
      <c r="P48" s="8">
        <v>0</v>
      </c>
      <c r="Q48" s="2" t="s">
        <v>247</v>
      </c>
      <c r="R48" s="2" t="s">
        <v>80</v>
      </c>
      <c r="S48" s="8"/>
      <c r="T48">
        <v>20000</v>
      </c>
      <c r="U48">
        <v>15000</v>
      </c>
      <c r="V48" t="s">
        <v>81</v>
      </c>
      <c r="X48" t="s">
        <v>81</v>
      </c>
      <c r="AA48" t="s">
        <v>81</v>
      </c>
      <c r="AB48">
        <v>4000</v>
      </c>
      <c r="AC48" t="s">
        <v>92</v>
      </c>
      <c r="AE48" t="s">
        <v>83</v>
      </c>
      <c r="AF48">
        <v>1</v>
      </c>
      <c r="AG48">
        <v>0</v>
      </c>
      <c r="AH48">
        <v>0</v>
      </c>
      <c r="AI48">
        <v>0</v>
      </c>
      <c r="BD48" t="s">
        <v>81</v>
      </c>
      <c r="BF48" t="s">
        <v>78</v>
      </c>
      <c r="BN48">
        <f t="shared" si="0"/>
        <v>38</v>
      </c>
    </row>
    <row r="49" spans="1:66" x14ac:dyDescent="0.2">
      <c r="A49" t="s">
        <v>78</v>
      </c>
      <c r="G49" t="s">
        <v>102</v>
      </c>
      <c r="I49" t="s">
        <v>78</v>
      </c>
      <c r="J49">
        <v>4</v>
      </c>
      <c r="K49">
        <v>0</v>
      </c>
      <c r="L49">
        <v>0</v>
      </c>
      <c r="M49" t="s">
        <v>81</v>
      </c>
      <c r="N49" t="s">
        <v>78</v>
      </c>
      <c r="O49" s="8">
        <v>1</v>
      </c>
      <c r="P49" s="8">
        <v>0</v>
      </c>
      <c r="Q49" s="2"/>
      <c r="R49" s="2"/>
      <c r="S49" s="8"/>
      <c r="T49">
        <v>1300</v>
      </c>
      <c r="U49">
        <v>1300</v>
      </c>
      <c r="V49" t="s">
        <v>81</v>
      </c>
      <c r="X49" t="s">
        <v>81</v>
      </c>
      <c r="AA49" t="s">
        <v>81</v>
      </c>
      <c r="AB49">
        <v>0</v>
      </c>
      <c r="AC49" t="s">
        <v>82</v>
      </c>
      <c r="AE49" t="s">
        <v>134</v>
      </c>
      <c r="AF49">
        <v>0</v>
      </c>
      <c r="AG49">
        <v>0</v>
      </c>
      <c r="AH49">
        <v>0</v>
      </c>
      <c r="AI49">
        <v>1</v>
      </c>
      <c r="BD49" t="s">
        <v>81</v>
      </c>
      <c r="BF49" t="s">
        <v>81</v>
      </c>
      <c r="BN49">
        <f t="shared" si="0"/>
        <v>40</v>
      </c>
    </row>
    <row r="50" spans="1:66" ht="16" x14ac:dyDescent="0.2">
      <c r="A50" t="s">
        <v>78</v>
      </c>
      <c r="G50" t="s">
        <v>89</v>
      </c>
      <c r="H50" t="s">
        <v>252</v>
      </c>
      <c r="I50" t="s">
        <v>78</v>
      </c>
      <c r="J50">
        <v>2</v>
      </c>
      <c r="K50">
        <v>2</v>
      </c>
      <c r="L50">
        <v>2</v>
      </c>
      <c r="M50" t="s">
        <v>81</v>
      </c>
      <c r="N50" t="s">
        <v>78</v>
      </c>
      <c r="O50" s="8">
        <v>1</v>
      </c>
      <c r="P50" s="8">
        <v>0</v>
      </c>
      <c r="Q50" s="2"/>
      <c r="R50" s="2" t="s">
        <v>80</v>
      </c>
      <c r="S50" s="8"/>
      <c r="T50">
        <v>3000</v>
      </c>
      <c r="U50">
        <v>3000</v>
      </c>
      <c r="V50" t="s">
        <v>81</v>
      </c>
      <c r="X50" t="s">
        <v>78</v>
      </c>
      <c r="AA50" t="s">
        <v>81</v>
      </c>
      <c r="AB50">
        <v>300</v>
      </c>
      <c r="AC50" t="s">
        <v>82</v>
      </c>
      <c r="AE50" t="s">
        <v>83</v>
      </c>
      <c r="AF50">
        <v>1</v>
      </c>
      <c r="AG50">
        <v>0</v>
      </c>
      <c r="AH50">
        <v>0</v>
      </c>
      <c r="AI50">
        <v>0</v>
      </c>
      <c r="AR50" t="s">
        <v>253</v>
      </c>
      <c r="AV50" t="s">
        <v>254</v>
      </c>
      <c r="AW50">
        <v>1</v>
      </c>
      <c r="AX50">
        <v>1</v>
      </c>
      <c r="AY50">
        <v>1</v>
      </c>
      <c r="AZ50">
        <v>1</v>
      </c>
      <c r="BD50" t="s">
        <v>81</v>
      </c>
      <c r="BF50" t="s">
        <v>81</v>
      </c>
      <c r="BN50">
        <f t="shared" si="0"/>
        <v>32</v>
      </c>
    </row>
    <row r="51" spans="1:66" ht="16" x14ac:dyDescent="0.2">
      <c r="A51" t="s">
        <v>78</v>
      </c>
      <c r="G51" t="s">
        <v>97</v>
      </c>
      <c r="I51" t="s">
        <v>78</v>
      </c>
      <c r="J51">
        <v>2</v>
      </c>
      <c r="K51">
        <v>0</v>
      </c>
      <c r="L51">
        <v>2</v>
      </c>
      <c r="M51" t="s">
        <v>81</v>
      </c>
      <c r="N51" t="s">
        <v>78</v>
      </c>
      <c r="O51" s="8">
        <v>1</v>
      </c>
      <c r="P51" s="8">
        <v>0</v>
      </c>
      <c r="Q51" s="2" t="s">
        <v>257</v>
      </c>
      <c r="R51" s="2" t="s">
        <v>80</v>
      </c>
      <c r="S51" s="8"/>
      <c r="T51">
        <v>8000</v>
      </c>
      <c r="V51" t="s">
        <v>81</v>
      </c>
      <c r="X51" t="s">
        <v>81</v>
      </c>
      <c r="AA51" t="s">
        <v>81</v>
      </c>
      <c r="AC51" t="s">
        <v>92</v>
      </c>
      <c r="AE51" t="s">
        <v>83</v>
      </c>
      <c r="AF51">
        <v>1</v>
      </c>
      <c r="AG51">
        <v>0</v>
      </c>
      <c r="AH51">
        <v>0</v>
      </c>
      <c r="AI51">
        <v>0</v>
      </c>
      <c r="AR51" t="s">
        <v>81</v>
      </c>
      <c r="BD51" t="s">
        <v>81</v>
      </c>
      <c r="BF51" t="s">
        <v>78</v>
      </c>
      <c r="BN51">
        <f t="shared" si="0"/>
        <v>39</v>
      </c>
    </row>
    <row r="52" spans="1:66" ht="16" x14ac:dyDescent="0.2">
      <c r="A52" t="s">
        <v>78</v>
      </c>
      <c r="G52" t="s">
        <v>106</v>
      </c>
      <c r="I52" t="s">
        <v>78</v>
      </c>
      <c r="J52">
        <v>22</v>
      </c>
      <c r="K52">
        <v>0</v>
      </c>
      <c r="L52">
        <v>5</v>
      </c>
      <c r="M52" t="s">
        <v>98</v>
      </c>
      <c r="N52" t="s">
        <v>78</v>
      </c>
      <c r="O52" s="8">
        <v>1</v>
      </c>
      <c r="P52" s="8">
        <v>0</v>
      </c>
      <c r="Q52" s="2" t="s">
        <v>199</v>
      </c>
      <c r="R52" s="2" t="s">
        <v>80</v>
      </c>
      <c r="S52" s="8"/>
      <c r="T52">
        <v>35000</v>
      </c>
      <c r="U52">
        <v>20000</v>
      </c>
      <c r="V52" t="s">
        <v>81</v>
      </c>
      <c r="X52" t="s">
        <v>81</v>
      </c>
      <c r="AA52" t="s">
        <v>81</v>
      </c>
      <c r="AB52">
        <v>22000</v>
      </c>
      <c r="AC52" t="s">
        <v>92</v>
      </c>
      <c r="AE52" t="s">
        <v>83</v>
      </c>
      <c r="AF52">
        <v>1</v>
      </c>
      <c r="AG52">
        <v>0</v>
      </c>
      <c r="AH52">
        <v>0</v>
      </c>
      <c r="AI52">
        <v>0</v>
      </c>
      <c r="BD52" t="s">
        <v>81</v>
      </c>
      <c r="BF52" t="s">
        <v>81</v>
      </c>
      <c r="BN52">
        <f t="shared" si="0"/>
        <v>38</v>
      </c>
    </row>
    <row r="53" spans="1:66" ht="16" x14ac:dyDescent="0.2">
      <c r="A53" t="s">
        <v>78</v>
      </c>
      <c r="G53" t="s">
        <v>102</v>
      </c>
      <c r="I53" t="s">
        <v>78</v>
      </c>
      <c r="J53">
        <v>4</v>
      </c>
      <c r="L53">
        <v>4</v>
      </c>
      <c r="M53" t="s">
        <v>98</v>
      </c>
      <c r="N53" t="s">
        <v>78</v>
      </c>
      <c r="O53" s="8">
        <v>1</v>
      </c>
      <c r="P53" s="8">
        <v>0</v>
      </c>
      <c r="Q53" s="2" t="s">
        <v>262</v>
      </c>
      <c r="R53" s="2" t="s">
        <v>80</v>
      </c>
      <c r="S53" s="8"/>
      <c r="T53">
        <v>3000</v>
      </c>
      <c r="U53">
        <v>2000</v>
      </c>
      <c r="V53" t="s">
        <v>81</v>
      </c>
      <c r="X53" t="s">
        <v>78</v>
      </c>
      <c r="AB53">
        <v>300</v>
      </c>
      <c r="AC53" t="s">
        <v>82</v>
      </c>
      <c r="AE53" t="s">
        <v>83</v>
      </c>
      <c r="AF53">
        <v>1</v>
      </c>
      <c r="AG53">
        <v>0</v>
      </c>
      <c r="AH53">
        <v>0</v>
      </c>
      <c r="AI53">
        <v>0</v>
      </c>
      <c r="AR53" t="s">
        <v>81</v>
      </c>
      <c r="BD53" t="s">
        <v>81</v>
      </c>
      <c r="BF53" t="s">
        <v>81</v>
      </c>
      <c r="BN53">
        <f t="shared" si="0"/>
        <v>39</v>
      </c>
    </row>
    <row r="54" spans="1:66" ht="16" x14ac:dyDescent="0.2">
      <c r="A54" t="s">
        <v>78</v>
      </c>
      <c r="G54" t="s">
        <v>267</v>
      </c>
      <c r="I54" t="s">
        <v>78</v>
      </c>
      <c r="J54">
        <v>3</v>
      </c>
      <c r="K54">
        <v>3</v>
      </c>
      <c r="L54">
        <v>0</v>
      </c>
      <c r="M54" t="s">
        <v>98</v>
      </c>
      <c r="N54" t="s">
        <v>78</v>
      </c>
      <c r="O54" s="8">
        <v>1</v>
      </c>
      <c r="P54" s="8">
        <v>0</v>
      </c>
      <c r="Q54" s="2" t="s">
        <v>268</v>
      </c>
      <c r="R54" s="2" t="s">
        <v>80</v>
      </c>
      <c r="S54" s="8"/>
      <c r="T54">
        <v>3000</v>
      </c>
      <c r="U54">
        <v>3000</v>
      </c>
      <c r="V54" t="s">
        <v>81</v>
      </c>
      <c r="X54" t="s">
        <v>78</v>
      </c>
      <c r="AA54" t="s">
        <v>81</v>
      </c>
      <c r="AB54">
        <v>1000</v>
      </c>
      <c r="AC54" t="s">
        <v>92</v>
      </c>
      <c r="AE54" t="s">
        <v>83</v>
      </c>
      <c r="AF54">
        <v>1</v>
      </c>
      <c r="AG54">
        <v>0</v>
      </c>
      <c r="AH54">
        <v>0</v>
      </c>
      <c r="AI54">
        <v>0</v>
      </c>
      <c r="AR54" t="s">
        <v>269</v>
      </c>
      <c r="BD54" t="s">
        <v>81</v>
      </c>
      <c r="BF54" t="s">
        <v>78</v>
      </c>
      <c r="BN54">
        <f t="shared" si="0"/>
        <v>37</v>
      </c>
    </row>
    <row r="55" spans="1:66" x14ac:dyDescent="0.2">
      <c r="A55" t="s">
        <v>78</v>
      </c>
      <c r="G55" t="s">
        <v>89</v>
      </c>
      <c r="H55" t="s">
        <v>272</v>
      </c>
      <c r="I55" t="s">
        <v>81</v>
      </c>
      <c r="J55">
        <v>10</v>
      </c>
      <c r="K55">
        <v>20</v>
      </c>
      <c r="L55">
        <v>9</v>
      </c>
      <c r="M55" t="s">
        <v>81</v>
      </c>
      <c r="O55" s="6"/>
      <c r="P55" s="6"/>
      <c r="Q55" s="2"/>
      <c r="R55" s="2"/>
      <c r="S55" s="8"/>
      <c r="X55" t="s">
        <v>81</v>
      </c>
      <c r="AA55" t="s">
        <v>81</v>
      </c>
      <c r="BN55">
        <f t="shared" si="0"/>
        <v>54</v>
      </c>
    </row>
    <row r="56" spans="1:66" ht="32" x14ac:dyDescent="0.2">
      <c r="A56" t="s">
        <v>78</v>
      </c>
      <c r="B56" t="s">
        <v>275</v>
      </c>
      <c r="C56">
        <v>29.390826000000001</v>
      </c>
      <c r="D56">
        <v>79.457109000000003</v>
      </c>
      <c r="E56">
        <v>1905.900024414062</v>
      </c>
      <c r="F56">
        <v>12.220999717712401</v>
      </c>
      <c r="G56" t="s">
        <v>97</v>
      </c>
      <c r="I56" t="s">
        <v>78</v>
      </c>
      <c r="J56">
        <v>30</v>
      </c>
      <c r="K56">
        <v>7</v>
      </c>
      <c r="L56">
        <v>4</v>
      </c>
      <c r="M56" t="s">
        <v>81</v>
      </c>
      <c r="N56" t="s">
        <v>78</v>
      </c>
      <c r="O56" s="8">
        <v>1</v>
      </c>
      <c r="P56" s="8">
        <v>0</v>
      </c>
      <c r="Q56" s="2" t="s">
        <v>276</v>
      </c>
      <c r="R56" s="2" t="s">
        <v>80</v>
      </c>
      <c r="S56" s="8"/>
      <c r="T56">
        <v>30000</v>
      </c>
      <c r="U56">
        <v>25000</v>
      </c>
      <c r="W56" t="s">
        <v>81</v>
      </c>
      <c r="X56" t="s">
        <v>78</v>
      </c>
      <c r="AB56">
        <v>2000</v>
      </c>
      <c r="AC56" t="s">
        <v>92</v>
      </c>
      <c r="AD56" t="s">
        <v>277</v>
      </c>
      <c r="AE56" t="s">
        <v>83</v>
      </c>
      <c r="AF56">
        <v>1</v>
      </c>
      <c r="AG56">
        <v>0</v>
      </c>
      <c r="AH56">
        <v>0</v>
      </c>
      <c r="AI56">
        <v>0</v>
      </c>
      <c r="AJ56">
        <v>36000</v>
      </c>
      <c r="AK56">
        <v>60000</v>
      </c>
      <c r="BN56">
        <f t="shared" si="0"/>
        <v>33</v>
      </c>
    </row>
    <row r="57" spans="1:66" ht="16" x14ac:dyDescent="0.2">
      <c r="A57" t="s">
        <v>78</v>
      </c>
      <c r="G57" t="s">
        <v>102</v>
      </c>
      <c r="I57" t="s">
        <v>81</v>
      </c>
      <c r="J57">
        <v>2</v>
      </c>
      <c r="K57">
        <v>1</v>
      </c>
      <c r="L57">
        <v>0</v>
      </c>
      <c r="M57" t="s">
        <v>81</v>
      </c>
      <c r="N57" t="s">
        <v>78</v>
      </c>
      <c r="O57" s="8">
        <v>1</v>
      </c>
      <c r="P57" s="8">
        <v>0</v>
      </c>
      <c r="Q57" s="2" t="s">
        <v>281</v>
      </c>
      <c r="R57" s="2" t="s">
        <v>80</v>
      </c>
      <c r="S57" s="8"/>
      <c r="T57">
        <v>2500</v>
      </c>
      <c r="U57">
        <v>1700</v>
      </c>
      <c r="V57" t="s">
        <v>81</v>
      </c>
      <c r="X57" t="s">
        <v>81</v>
      </c>
      <c r="AA57" t="s">
        <v>81</v>
      </c>
      <c r="AC57" t="s">
        <v>92</v>
      </c>
      <c r="AE57" t="s">
        <v>134</v>
      </c>
      <c r="AF57">
        <v>0</v>
      </c>
      <c r="AG57">
        <v>0</v>
      </c>
      <c r="AH57">
        <v>0</v>
      </c>
      <c r="AI57">
        <v>1</v>
      </c>
      <c r="BD57" t="s">
        <v>81</v>
      </c>
      <c r="BF57" t="s">
        <v>78</v>
      </c>
      <c r="BN57">
        <f t="shared" si="0"/>
        <v>39</v>
      </c>
    </row>
    <row r="58" spans="1:66" ht="16" x14ac:dyDescent="0.2">
      <c r="A58" t="s">
        <v>78</v>
      </c>
      <c r="B58" t="s">
        <v>284</v>
      </c>
      <c r="C58">
        <v>29.391566000000001</v>
      </c>
      <c r="D58">
        <v>79.456181999999998</v>
      </c>
      <c r="E58">
        <v>1906.099975585938</v>
      </c>
      <c r="F58">
        <v>22.180000305175781</v>
      </c>
      <c r="G58" t="s">
        <v>97</v>
      </c>
      <c r="I58" t="s">
        <v>78</v>
      </c>
      <c r="J58">
        <v>10</v>
      </c>
      <c r="K58">
        <v>0</v>
      </c>
      <c r="L58">
        <v>8</v>
      </c>
      <c r="M58" t="s">
        <v>81</v>
      </c>
      <c r="N58" t="s">
        <v>78</v>
      </c>
      <c r="O58" s="8">
        <v>1</v>
      </c>
      <c r="P58" s="8">
        <v>0</v>
      </c>
      <c r="Q58" s="2" t="s">
        <v>138</v>
      </c>
      <c r="R58" s="2" t="s">
        <v>80</v>
      </c>
      <c r="S58" s="8"/>
      <c r="T58">
        <v>150000</v>
      </c>
      <c r="U58">
        <v>150000</v>
      </c>
      <c r="W58" t="s">
        <v>81</v>
      </c>
      <c r="X58" t="s">
        <v>81</v>
      </c>
      <c r="AB58">
        <v>40000</v>
      </c>
      <c r="AC58" t="s">
        <v>82</v>
      </c>
      <c r="AD58" t="s">
        <v>81</v>
      </c>
      <c r="AE58" t="s">
        <v>83</v>
      </c>
      <c r="AF58">
        <v>1</v>
      </c>
      <c r="AG58">
        <v>0</v>
      </c>
      <c r="AH58">
        <v>0</v>
      </c>
      <c r="AI58">
        <v>0</v>
      </c>
      <c r="AK58">
        <v>23420</v>
      </c>
      <c r="BN58">
        <f t="shared" si="0"/>
        <v>34</v>
      </c>
    </row>
    <row r="59" spans="1:66" ht="16" x14ac:dyDescent="0.2">
      <c r="A59" t="s">
        <v>78</v>
      </c>
      <c r="G59" t="s">
        <v>102</v>
      </c>
      <c r="I59" t="s">
        <v>81</v>
      </c>
      <c r="J59">
        <v>2</v>
      </c>
      <c r="K59">
        <v>0</v>
      </c>
      <c r="L59">
        <v>2</v>
      </c>
      <c r="M59" t="s">
        <v>81</v>
      </c>
      <c r="N59" t="s">
        <v>78</v>
      </c>
      <c r="O59" s="8">
        <v>1</v>
      </c>
      <c r="P59" s="8">
        <v>0</v>
      </c>
      <c r="Q59" s="2"/>
      <c r="R59" s="2" t="s">
        <v>80</v>
      </c>
      <c r="S59" s="8"/>
      <c r="T59">
        <v>8000</v>
      </c>
      <c r="U59">
        <v>8000</v>
      </c>
      <c r="V59" t="s">
        <v>81</v>
      </c>
      <c r="X59" t="s">
        <v>81</v>
      </c>
      <c r="AA59" t="s">
        <v>81</v>
      </c>
      <c r="AC59" t="s">
        <v>82</v>
      </c>
      <c r="AE59" t="s">
        <v>83</v>
      </c>
      <c r="AF59">
        <v>1</v>
      </c>
      <c r="AG59">
        <v>0</v>
      </c>
      <c r="AH59">
        <v>0</v>
      </c>
      <c r="AI59">
        <v>0</v>
      </c>
      <c r="AR59" t="s">
        <v>287</v>
      </c>
      <c r="BD59" t="s">
        <v>81</v>
      </c>
      <c r="BF59" t="s">
        <v>81</v>
      </c>
      <c r="BN59">
        <f t="shared" si="0"/>
        <v>39</v>
      </c>
    </row>
    <row r="60" spans="1:66" ht="16" x14ac:dyDescent="0.2">
      <c r="A60" t="s">
        <v>78</v>
      </c>
      <c r="B60" t="s">
        <v>290</v>
      </c>
      <c r="C60">
        <v>29.384229000000001</v>
      </c>
      <c r="D60">
        <v>79.463292999999993</v>
      </c>
      <c r="E60">
        <v>1903</v>
      </c>
      <c r="F60">
        <v>56.099998474121087</v>
      </c>
      <c r="G60" t="s">
        <v>106</v>
      </c>
      <c r="I60" t="s">
        <v>78</v>
      </c>
      <c r="J60">
        <v>15</v>
      </c>
      <c r="K60">
        <v>5</v>
      </c>
      <c r="L60">
        <v>0</v>
      </c>
      <c r="M60" t="s">
        <v>81</v>
      </c>
      <c r="N60" t="s">
        <v>78</v>
      </c>
      <c r="O60" s="8">
        <v>1</v>
      </c>
      <c r="P60" s="8">
        <v>0</v>
      </c>
      <c r="Q60" s="2" t="s">
        <v>190</v>
      </c>
      <c r="R60" s="2" t="s">
        <v>80</v>
      </c>
      <c r="S60" s="8"/>
      <c r="T60">
        <v>25000</v>
      </c>
      <c r="U60">
        <v>15000</v>
      </c>
      <c r="W60" t="s">
        <v>81</v>
      </c>
      <c r="X60" t="s">
        <v>78</v>
      </c>
      <c r="Y60">
        <v>200</v>
      </c>
      <c r="Z60">
        <v>250</v>
      </c>
      <c r="AA60" t="s">
        <v>81</v>
      </c>
      <c r="AB60">
        <v>0</v>
      </c>
      <c r="AC60" t="s">
        <v>92</v>
      </c>
      <c r="AD60" t="s">
        <v>291</v>
      </c>
      <c r="AE60" t="s">
        <v>83</v>
      </c>
      <c r="AF60">
        <v>1</v>
      </c>
      <c r="AG60">
        <v>0</v>
      </c>
      <c r="AH60">
        <v>0</v>
      </c>
      <c r="AI60">
        <v>0</v>
      </c>
      <c r="AJ60">
        <v>420000</v>
      </c>
      <c r="AK60">
        <v>36000</v>
      </c>
      <c r="BN60">
        <f t="shared" si="0"/>
        <v>30</v>
      </c>
    </row>
    <row r="61" spans="1:66" ht="16" x14ac:dyDescent="0.2">
      <c r="A61" t="s">
        <v>78</v>
      </c>
      <c r="B61" t="s">
        <v>294</v>
      </c>
      <c r="C61">
        <v>29.380068000000001</v>
      </c>
      <c r="D61">
        <v>79.463554999999999</v>
      </c>
      <c r="E61">
        <v>1944.146343281009</v>
      </c>
      <c r="F61">
        <v>20.142556833162921</v>
      </c>
      <c r="G61" t="s">
        <v>97</v>
      </c>
      <c r="I61" t="s">
        <v>78</v>
      </c>
      <c r="J61">
        <v>20</v>
      </c>
      <c r="K61">
        <v>4</v>
      </c>
      <c r="L61">
        <v>10</v>
      </c>
      <c r="M61" t="s">
        <v>98</v>
      </c>
      <c r="N61" t="s">
        <v>78</v>
      </c>
      <c r="O61" s="8">
        <v>1</v>
      </c>
      <c r="P61" s="8">
        <v>0</v>
      </c>
      <c r="Q61" s="2"/>
      <c r="R61" s="2" t="s">
        <v>80</v>
      </c>
      <c r="S61" s="8"/>
      <c r="T61">
        <v>13000</v>
      </c>
      <c r="U61">
        <v>13000</v>
      </c>
      <c r="W61" t="s">
        <v>81</v>
      </c>
      <c r="X61" t="s">
        <v>78</v>
      </c>
      <c r="AB61">
        <v>3000</v>
      </c>
      <c r="AC61" t="s">
        <v>82</v>
      </c>
      <c r="AE61" t="s">
        <v>83</v>
      </c>
      <c r="AF61">
        <v>1</v>
      </c>
      <c r="AG61">
        <v>0</v>
      </c>
      <c r="AH61">
        <v>0</v>
      </c>
      <c r="AI61">
        <v>0</v>
      </c>
      <c r="AJ61">
        <v>2000</v>
      </c>
      <c r="AK61">
        <v>8000</v>
      </c>
      <c r="BN61">
        <f t="shared" si="0"/>
        <v>35</v>
      </c>
    </row>
    <row r="62" spans="1:66" ht="16" x14ac:dyDescent="0.2">
      <c r="A62" t="s">
        <v>78</v>
      </c>
      <c r="G62" t="s">
        <v>102</v>
      </c>
      <c r="I62" t="s">
        <v>78</v>
      </c>
      <c r="J62">
        <v>3</v>
      </c>
      <c r="L62">
        <v>3</v>
      </c>
      <c r="M62" t="s">
        <v>81</v>
      </c>
      <c r="N62" t="s">
        <v>81</v>
      </c>
      <c r="O62" s="6">
        <v>0</v>
      </c>
      <c r="P62" s="6">
        <v>1</v>
      </c>
      <c r="Q62" s="2"/>
      <c r="R62" s="2" t="s">
        <v>80</v>
      </c>
      <c r="S62" s="8"/>
      <c r="T62">
        <v>2000</v>
      </c>
      <c r="V62" t="s">
        <v>81</v>
      </c>
      <c r="X62" t="s">
        <v>81</v>
      </c>
      <c r="AA62" t="s">
        <v>81</v>
      </c>
      <c r="AB62">
        <v>0</v>
      </c>
      <c r="AC62" t="s">
        <v>82</v>
      </c>
      <c r="AE62" t="s">
        <v>83</v>
      </c>
      <c r="AF62">
        <v>1</v>
      </c>
      <c r="AG62">
        <v>0</v>
      </c>
      <c r="AH62">
        <v>0</v>
      </c>
      <c r="AI62">
        <v>0</v>
      </c>
      <c r="BD62" t="s">
        <v>81</v>
      </c>
      <c r="BF62" t="s">
        <v>78</v>
      </c>
      <c r="BN62">
        <f t="shared" si="0"/>
        <v>41</v>
      </c>
    </row>
    <row r="63" spans="1:66" ht="16" x14ac:dyDescent="0.2">
      <c r="A63" t="s">
        <v>78</v>
      </c>
      <c r="B63" t="s">
        <v>299</v>
      </c>
      <c r="C63">
        <v>29.39141</v>
      </c>
      <c r="D63">
        <v>79.456256999999994</v>
      </c>
      <c r="E63">
        <v>1904.800048828125</v>
      </c>
      <c r="F63">
        <v>21.563999176025391</v>
      </c>
      <c r="G63" t="s">
        <v>102</v>
      </c>
      <c r="I63" t="s">
        <v>81</v>
      </c>
      <c r="J63">
        <v>5</v>
      </c>
      <c r="K63">
        <v>0</v>
      </c>
      <c r="L63">
        <v>5</v>
      </c>
      <c r="M63" t="s">
        <v>81</v>
      </c>
      <c r="N63" t="s">
        <v>78</v>
      </c>
      <c r="O63" s="8">
        <v>1</v>
      </c>
      <c r="P63" s="8">
        <v>0</v>
      </c>
      <c r="Q63" s="2" t="s">
        <v>81</v>
      </c>
      <c r="R63" s="2" t="s">
        <v>80</v>
      </c>
      <c r="S63" s="8"/>
      <c r="T63">
        <v>10000</v>
      </c>
      <c r="U63">
        <v>10000</v>
      </c>
      <c r="W63" t="s">
        <v>81</v>
      </c>
      <c r="BN63">
        <f t="shared" si="0"/>
        <v>44</v>
      </c>
    </row>
    <row r="64" spans="1:66" ht="16" x14ac:dyDescent="0.2">
      <c r="A64" t="s">
        <v>78</v>
      </c>
      <c r="B64" t="s">
        <v>302</v>
      </c>
      <c r="C64">
        <v>29.391463000000002</v>
      </c>
      <c r="D64">
        <v>79.456187999999997</v>
      </c>
      <c r="E64">
        <v>1904.800048828125</v>
      </c>
      <c r="F64">
        <v>12.61299991607666</v>
      </c>
      <c r="G64" t="s">
        <v>79</v>
      </c>
      <c r="I64" t="s">
        <v>78</v>
      </c>
      <c r="J64">
        <v>4</v>
      </c>
      <c r="K64">
        <v>4</v>
      </c>
      <c r="L64">
        <v>4</v>
      </c>
      <c r="M64" t="s">
        <v>81</v>
      </c>
      <c r="N64" s="8" t="s">
        <v>303</v>
      </c>
      <c r="O64" s="8">
        <v>1</v>
      </c>
      <c r="P64" s="8">
        <v>1</v>
      </c>
      <c r="Q64" s="2" t="s">
        <v>304</v>
      </c>
      <c r="R64" s="2"/>
      <c r="S64" s="8"/>
      <c r="T64">
        <v>0</v>
      </c>
      <c r="U64">
        <v>0</v>
      </c>
      <c r="W64" t="s">
        <v>81</v>
      </c>
      <c r="BN64">
        <f t="shared" si="0"/>
        <v>45</v>
      </c>
    </row>
    <row r="65" spans="1:66" ht="16" x14ac:dyDescent="0.2">
      <c r="A65" t="s">
        <v>78</v>
      </c>
      <c r="G65" t="s">
        <v>102</v>
      </c>
      <c r="I65" t="s">
        <v>78</v>
      </c>
      <c r="J65">
        <v>2</v>
      </c>
      <c r="K65">
        <v>0</v>
      </c>
      <c r="L65">
        <v>2</v>
      </c>
      <c r="M65" t="s">
        <v>81</v>
      </c>
      <c r="N65" t="s">
        <v>81</v>
      </c>
      <c r="O65" s="6">
        <v>0</v>
      </c>
      <c r="P65" s="6">
        <v>1</v>
      </c>
      <c r="Q65" s="2" t="s">
        <v>78</v>
      </c>
      <c r="R65" s="2"/>
      <c r="S65" s="8"/>
      <c r="T65">
        <v>4000</v>
      </c>
      <c r="U65">
        <v>3000</v>
      </c>
      <c r="V65" t="s">
        <v>81</v>
      </c>
      <c r="X65" t="s">
        <v>81</v>
      </c>
      <c r="AA65" t="s">
        <v>81</v>
      </c>
      <c r="AB65">
        <v>0</v>
      </c>
      <c r="AE65" t="s">
        <v>134</v>
      </c>
      <c r="AF65">
        <v>0</v>
      </c>
      <c r="AG65">
        <v>0</v>
      </c>
      <c r="AH65">
        <v>0</v>
      </c>
      <c r="AI65">
        <v>1</v>
      </c>
      <c r="AR65" t="s">
        <v>307</v>
      </c>
      <c r="AV65" t="s">
        <v>103</v>
      </c>
      <c r="AW65">
        <v>1</v>
      </c>
      <c r="AX65">
        <v>0</v>
      </c>
      <c r="AY65">
        <v>0</v>
      </c>
      <c r="AZ65">
        <v>0</v>
      </c>
      <c r="BD65" t="s">
        <v>81</v>
      </c>
      <c r="BF65" t="s">
        <v>78</v>
      </c>
      <c r="BN65">
        <f t="shared" si="0"/>
        <v>34</v>
      </c>
    </row>
    <row r="66" spans="1:66" ht="16" x14ac:dyDescent="0.2">
      <c r="A66" t="s">
        <v>78</v>
      </c>
      <c r="B66" t="s">
        <v>310</v>
      </c>
      <c r="C66">
        <v>29.384671000000001</v>
      </c>
      <c r="D66">
        <v>79.463928999999993</v>
      </c>
      <c r="E66">
        <v>1934.400024414062</v>
      </c>
      <c r="F66">
        <v>12.63599967956543</v>
      </c>
      <c r="G66" t="s">
        <v>106</v>
      </c>
      <c r="I66" t="s">
        <v>78</v>
      </c>
      <c r="J66">
        <v>2</v>
      </c>
      <c r="K66">
        <v>0</v>
      </c>
      <c r="L66">
        <v>0</v>
      </c>
      <c r="M66" t="s">
        <v>81</v>
      </c>
      <c r="N66" t="s">
        <v>78</v>
      </c>
      <c r="O66" s="8">
        <v>1</v>
      </c>
      <c r="P66" s="8">
        <v>0</v>
      </c>
      <c r="Q66" s="2" t="s">
        <v>190</v>
      </c>
      <c r="R66" s="2" t="s">
        <v>80</v>
      </c>
      <c r="S66" s="8"/>
      <c r="T66">
        <v>10000</v>
      </c>
      <c r="U66">
        <v>4000</v>
      </c>
      <c r="W66" t="s">
        <v>81</v>
      </c>
      <c r="X66" t="s">
        <v>78</v>
      </c>
      <c r="Y66">
        <v>10</v>
      </c>
      <c r="Z66">
        <v>60</v>
      </c>
      <c r="AA66" t="s">
        <v>81</v>
      </c>
      <c r="AB66">
        <v>6000</v>
      </c>
      <c r="AC66" t="s">
        <v>82</v>
      </c>
      <c r="AE66" t="s">
        <v>83</v>
      </c>
      <c r="AF66">
        <v>1</v>
      </c>
      <c r="AG66">
        <v>0</v>
      </c>
      <c r="AH66">
        <v>0</v>
      </c>
      <c r="AI66">
        <v>0</v>
      </c>
      <c r="AJ66">
        <v>120000</v>
      </c>
      <c r="AK66">
        <v>0</v>
      </c>
      <c r="BN66">
        <f t="shared" ref="BN66:BN127" si="1">COUNTBLANK(A66:BL66)</f>
        <v>31</v>
      </c>
    </row>
    <row r="67" spans="1:66" ht="16" x14ac:dyDescent="0.2">
      <c r="A67" t="s">
        <v>78</v>
      </c>
      <c r="G67" t="s">
        <v>106</v>
      </c>
      <c r="I67" t="s">
        <v>78</v>
      </c>
      <c r="J67">
        <v>16</v>
      </c>
      <c r="K67">
        <v>0</v>
      </c>
      <c r="L67">
        <v>13</v>
      </c>
      <c r="M67" t="s">
        <v>81</v>
      </c>
      <c r="N67" t="s">
        <v>78</v>
      </c>
      <c r="O67" s="8">
        <v>1</v>
      </c>
      <c r="P67" s="8">
        <v>0</v>
      </c>
      <c r="Q67" s="2" t="s">
        <v>313</v>
      </c>
      <c r="R67" s="2" t="s">
        <v>80</v>
      </c>
      <c r="S67" s="8"/>
      <c r="T67">
        <v>85000</v>
      </c>
      <c r="U67">
        <v>45000</v>
      </c>
      <c r="V67" t="s">
        <v>81</v>
      </c>
      <c r="X67" t="s">
        <v>81</v>
      </c>
      <c r="AA67" t="s">
        <v>78</v>
      </c>
      <c r="AB67">
        <v>3000</v>
      </c>
      <c r="AC67" t="s">
        <v>92</v>
      </c>
      <c r="AE67" t="s">
        <v>83</v>
      </c>
      <c r="AF67">
        <v>1</v>
      </c>
      <c r="AG67">
        <v>0</v>
      </c>
      <c r="AH67">
        <v>0</v>
      </c>
      <c r="AI67">
        <v>0</v>
      </c>
      <c r="BD67" t="s">
        <v>81</v>
      </c>
      <c r="BF67" t="s">
        <v>78</v>
      </c>
      <c r="BN67">
        <f t="shared" si="1"/>
        <v>38</v>
      </c>
    </row>
    <row r="68" spans="1:66" ht="16" x14ac:dyDescent="0.2">
      <c r="A68" t="s">
        <v>78</v>
      </c>
      <c r="B68" t="s">
        <v>316</v>
      </c>
      <c r="C68">
        <v>29.391732000000001</v>
      </c>
      <c r="D68">
        <v>79.455805999999995</v>
      </c>
      <c r="E68">
        <v>1908.900024414062</v>
      </c>
      <c r="F68">
        <v>25.631999969482418</v>
      </c>
      <c r="G68" t="s">
        <v>102</v>
      </c>
      <c r="I68" t="s">
        <v>78</v>
      </c>
      <c r="J68">
        <v>2</v>
      </c>
      <c r="K68">
        <v>0</v>
      </c>
      <c r="L68">
        <v>0</v>
      </c>
      <c r="M68" t="s">
        <v>81</v>
      </c>
      <c r="N68" t="s">
        <v>78</v>
      </c>
      <c r="O68" s="8">
        <v>1</v>
      </c>
      <c r="P68" s="8">
        <v>0</v>
      </c>
      <c r="Q68" s="2" t="s">
        <v>224</v>
      </c>
      <c r="R68" s="2" t="s">
        <v>80</v>
      </c>
      <c r="S68" s="8"/>
      <c r="T68">
        <v>70000</v>
      </c>
      <c r="U68">
        <v>67000</v>
      </c>
      <c r="W68" t="s">
        <v>81</v>
      </c>
      <c r="BN68">
        <f t="shared" si="1"/>
        <v>44</v>
      </c>
    </row>
    <row r="69" spans="1:66" ht="16" x14ac:dyDescent="0.2">
      <c r="A69" t="s">
        <v>78</v>
      </c>
      <c r="B69" t="s">
        <v>319</v>
      </c>
      <c r="C69">
        <v>29.389994999999999</v>
      </c>
      <c r="D69">
        <v>79.455220999999995</v>
      </c>
      <c r="E69">
        <v>1942.469364272697</v>
      </c>
      <c r="F69">
        <v>15.095014000000001</v>
      </c>
      <c r="G69" t="s">
        <v>102</v>
      </c>
      <c r="I69" t="s">
        <v>78</v>
      </c>
      <c r="J69">
        <v>1</v>
      </c>
      <c r="K69">
        <v>1</v>
      </c>
      <c r="L69">
        <v>1</v>
      </c>
      <c r="M69" t="s">
        <v>81</v>
      </c>
      <c r="N69" t="s">
        <v>78</v>
      </c>
      <c r="O69" s="8">
        <v>1</v>
      </c>
      <c r="P69" s="8">
        <v>0</v>
      </c>
      <c r="Q69" s="2" t="s">
        <v>320</v>
      </c>
      <c r="R69" s="2" t="s">
        <v>80</v>
      </c>
      <c r="S69" s="8"/>
      <c r="T69">
        <v>1000</v>
      </c>
      <c r="U69">
        <v>1000</v>
      </c>
      <c r="W69" t="s">
        <v>81</v>
      </c>
      <c r="BN69">
        <f t="shared" si="1"/>
        <v>44</v>
      </c>
    </row>
    <row r="70" spans="1:66" ht="16" x14ac:dyDescent="0.2">
      <c r="A70" t="s">
        <v>78</v>
      </c>
      <c r="B70" t="s">
        <v>323</v>
      </c>
      <c r="C70">
        <v>29.391285</v>
      </c>
      <c r="D70">
        <v>79.455644000000007</v>
      </c>
      <c r="E70">
        <v>1948.4754971656689</v>
      </c>
      <c r="F70">
        <v>23.889060194447239</v>
      </c>
      <c r="G70" t="s">
        <v>102</v>
      </c>
      <c r="I70" t="s">
        <v>78</v>
      </c>
      <c r="J70">
        <v>5</v>
      </c>
      <c r="K70">
        <v>0</v>
      </c>
      <c r="L70">
        <v>5</v>
      </c>
      <c r="M70" t="s">
        <v>98</v>
      </c>
      <c r="N70" t="s">
        <v>81</v>
      </c>
      <c r="O70" s="6">
        <v>0</v>
      </c>
      <c r="P70" s="6">
        <v>1</v>
      </c>
      <c r="Q70" s="2" t="s">
        <v>324</v>
      </c>
      <c r="R70" s="2"/>
      <c r="S70" s="8"/>
      <c r="T70">
        <v>0</v>
      </c>
      <c r="U70">
        <v>0</v>
      </c>
      <c r="W70" t="s">
        <v>81</v>
      </c>
      <c r="AC70" t="s">
        <v>82</v>
      </c>
      <c r="BN70">
        <f t="shared" si="1"/>
        <v>44</v>
      </c>
    </row>
    <row r="71" spans="1:66" ht="16" x14ac:dyDescent="0.2">
      <c r="A71" t="s">
        <v>78</v>
      </c>
      <c r="B71" t="s">
        <v>327</v>
      </c>
      <c r="C71">
        <v>29.390090000000001</v>
      </c>
      <c r="D71">
        <v>79.455872999999997</v>
      </c>
      <c r="E71">
        <v>1944.3754980245781</v>
      </c>
      <c r="F71">
        <v>64.035570358423811</v>
      </c>
      <c r="G71" t="s">
        <v>89</v>
      </c>
      <c r="H71" t="s">
        <v>328</v>
      </c>
      <c r="I71" t="s">
        <v>78</v>
      </c>
      <c r="J71">
        <v>1</v>
      </c>
      <c r="K71">
        <v>1</v>
      </c>
      <c r="L71">
        <v>1</v>
      </c>
      <c r="M71" t="s">
        <v>81</v>
      </c>
      <c r="N71" t="s">
        <v>81</v>
      </c>
      <c r="O71" s="6">
        <v>0</v>
      </c>
      <c r="P71" s="6">
        <v>1</v>
      </c>
      <c r="Q71" s="2" t="s">
        <v>329</v>
      </c>
      <c r="R71" s="2" t="s">
        <v>80</v>
      </c>
      <c r="S71" s="8"/>
      <c r="T71">
        <v>3500</v>
      </c>
      <c r="U71">
        <v>3200</v>
      </c>
      <c r="W71" t="s">
        <v>81</v>
      </c>
      <c r="BN71">
        <f t="shared" si="1"/>
        <v>43</v>
      </c>
    </row>
    <row r="72" spans="1:66" ht="16" x14ac:dyDescent="0.2">
      <c r="A72" t="s">
        <v>78</v>
      </c>
      <c r="B72" t="s">
        <v>332</v>
      </c>
      <c r="C72">
        <v>29.390384000000001</v>
      </c>
      <c r="D72">
        <v>79.455691000000002</v>
      </c>
      <c r="E72">
        <v>1944.7161490029871</v>
      </c>
      <c r="F72">
        <v>48.670615120582738</v>
      </c>
      <c r="G72" t="s">
        <v>89</v>
      </c>
      <c r="H72" t="s">
        <v>333</v>
      </c>
      <c r="I72" t="s">
        <v>78</v>
      </c>
      <c r="J72">
        <v>1</v>
      </c>
      <c r="K72">
        <v>0</v>
      </c>
      <c r="L72">
        <v>1</v>
      </c>
      <c r="M72" t="s">
        <v>81</v>
      </c>
      <c r="N72" t="s">
        <v>81</v>
      </c>
      <c r="O72" s="6">
        <v>0</v>
      </c>
      <c r="P72" s="6">
        <v>1</v>
      </c>
      <c r="Q72" s="2" t="s">
        <v>334</v>
      </c>
      <c r="R72" s="2"/>
      <c r="S72" s="8"/>
      <c r="T72">
        <v>3500</v>
      </c>
      <c r="U72">
        <v>3000</v>
      </c>
      <c r="W72" t="s">
        <v>81</v>
      </c>
      <c r="AC72" t="s">
        <v>82</v>
      </c>
      <c r="BN72">
        <f t="shared" si="1"/>
        <v>43</v>
      </c>
    </row>
    <row r="73" spans="1:66" ht="16" x14ac:dyDescent="0.2">
      <c r="A73" t="s">
        <v>78</v>
      </c>
      <c r="B73" t="s">
        <v>337</v>
      </c>
      <c r="C73">
        <v>29.391845</v>
      </c>
      <c r="D73">
        <v>79.455708999999999</v>
      </c>
      <c r="E73">
        <v>1909.5</v>
      </c>
      <c r="F73">
        <v>17.53800010681152</v>
      </c>
      <c r="G73" t="s">
        <v>102</v>
      </c>
      <c r="I73" t="s">
        <v>78</v>
      </c>
      <c r="J73">
        <v>3</v>
      </c>
      <c r="K73">
        <v>2</v>
      </c>
      <c r="L73">
        <v>3</v>
      </c>
      <c r="M73" t="s">
        <v>98</v>
      </c>
      <c r="N73" t="s">
        <v>78</v>
      </c>
      <c r="O73" s="8">
        <v>1</v>
      </c>
      <c r="P73" s="8">
        <v>0</v>
      </c>
      <c r="Q73" s="2" t="s">
        <v>224</v>
      </c>
      <c r="R73" s="2" t="s">
        <v>80</v>
      </c>
      <c r="S73" s="8"/>
      <c r="T73">
        <v>14500</v>
      </c>
      <c r="U73">
        <v>14500</v>
      </c>
      <c r="W73" t="s">
        <v>81</v>
      </c>
      <c r="BN73">
        <f t="shared" si="1"/>
        <v>44</v>
      </c>
    </row>
    <row r="74" spans="1:66" ht="16" x14ac:dyDescent="0.2">
      <c r="A74" t="s">
        <v>78</v>
      </c>
      <c r="B74" t="s">
        <v>340</v>
      </c>
      <c r="C74">
        <v>29.387153999999999</v>
      </c>
      <c r="D74">
        <v>79.461940999999996</v>
      </c>
      <c r="E74">
        <v>1911.300048828125</v>
      </c>
      <c r="F74">
        <v>12.61400032043457</v>
      </c>
      <c r="G74" t="s">
        <v>106</v>
      </c>
      <c r="I74" t="s">
        <v>78</v>
      </c>
      <c r="J74">
        <v>6</v>
      </c>
      <c r="K74">
        <v>3</v>
      </c>
      <c r="L74">
        <v>0</v>
      </c>
      <c r="M74" t="s">
        <v>81</v>
      </c>
      <c r="N74" t="s">
        <v>78</v>
      </c>
      <c r="O74" s="8">
        <v>1</v>
      </c>
      <c r="P74" s="8">
        <v>0</v>
      </c>
      <c r="Q74" s="2" t="s">
        <v>341</v>
      </c>
      <c r="R74" s="2" t="s">
        <v>80</v>
      </c>
      <c r="S74" s="8"/>
      <c r="T74">
        <v>50000</v>
      </c>
      <c r="U74">
        <v>30000</v>
      </c>
      <c r="W74" t="s">
        <v>81</v>
      </c>
      <c r="X74" t="s">
        <v>81</v>
      </c>
      <c r="Y74">
        <v>30</v>
      </c>
      <c r="Z74">
        <v>40</v>
      </c>
      <c r="AA74" t="s">
        <v>81</v>
      </c>
      <c r="AB74">
        <v>15000</v>
      </c>
      <c r="AC74" t="s">
        <v>82</v>
      </c>
      <c r="AD74" t="s">
        <v>342</v>
      </c>
      <c r="AE74" t="s">
        <v>83</v>
      </c>
      <c r="AF74">
        <v>1</v>
      </c>
      <c r="AG74">
        <v>0</v>
      </c>
      <c r="AH74">
        <v>0</v>
      </c>
      <c r="AI74">
        <v>0</v>
      </c>
      <c r="AJ74">
        <v>24000</v>
      </c>
      <c r="AK74">
        <v>180000</v>
      </c>
      <c r="BN74">
        <f t="shared" si="1"/>
        <v>30</v>
      </c>
    </row>
    <row r="75" spans="1:66" ht="32" x14ac:dyDescent="0.2">
      <c r="A75" t="s">
        <v>78</v>
      </c>
      <c r="G75" t="s">
        <v>97</v>
      </c>
      <c r="I75" t="s">
        <v>78</v>
      </c>
      <c r="J75">
        <v>2</v>
      </c>
      <c r="K75">
        <v>1</v>
      </c>
      <c r="L75">
        <v>2</v>
      </c>
      <c r="M75" t="s">
        <v>81</v>
      </c>
      <c r="N75" t="s">
        <v>78</v>
      </c>
      <c r="O75" s="8">
        <v>1</v>
      </c>
      <c r="P75" s="8">
        <v>0</v>
      </c>
      <c r="Q75" s="2" t="s">
        <v>345</v>
      </c>
      <c r="R75" s="2" t="s">
        <v>80</v>
      </c>
      <c r="S75" s="8"/>
      <c r="T75">
        <v>2500</v>
      </c>
      <c r="U75">
        <v>3000</v>
      </c>
      <c r="W75" t="s">
        <v>81</v>
      </c>
      <c r="X75" t="s">
        <v>81</v>
      </c>
      <c r="AB75">
        <v>100</v>
      </c>
      <c r="AC75" t="s">
        <v>82</v>
      </c>
      <c r="AE75" t="s">
        <v>83</v>
      </c>
      <c r="AF75">
        <v>1</v>
      </c>
      <c r="AG75">
        <v>0</v>
      </c>
      <c r="AH75">
        <v>0</v>
      </c>
      <c r="AI75">
        <v>0</v>
      </c>
      <c r="AJ75">
        <v>100000</v>
      </c>
      <c r="AK75">
        <v>200000</v>
      </c>
      <c r="BN75">
        <f t="shared" si="1"/>
        <v>39</v>
      </c>
    </row>
    <row r="76" spans="1:66" ht="16" x14ac:dyDescent="0.2">
      <c r="A76" t="s">
        <v>78</v>
      </c>
      <c r="B76" t="s">
        <v>348</v>
      </c>
      <c r="C76">
        <v>29.390523000000002</v>
      </c>
      <c r="D76">
        <v>79.455393000000001</v>
      </c>
      <c r="E76">
        <v>1945.4342504213321</v>
      </c>
      <c r="F76">
        <v>43.709220061484572</v>
      </c>
      <c r="G76" t="s">
        <v>102</v>
      </c>
      <c r="I76" t="s">
        <v>78</v>
      </c>
      <c r="J76">
        <v>4</v>
      </c>
      <c r="K76">
        <v>0</v>
      </c>
      <c r="L76">
        <v>4</v>
      </c>
      <c r="M76" t="s">
        <v>81</v>
      </c>
      <c r="N76" t="s">
        <v>78</v>
      </c>
      <c r="O76" s="8">
        <v>1</v>
      </c>
      <c r="P76" s="8">
        <v>0</v>
      </c>
      <c r="Q76" s="2" t="s">
        <v>349</v>
      </c>
      <c r="R76" s="2" t="s">
        <v>80</v>
      </c>
      <c r="S76" s="8"/>
      <c r="T76">
        <v>4000</v>
      </c>
      <c r="U76">
        <v>3000</v>
      </c>
      <c r="W76" t="s">
        <v>81</v>
      </c>
      <c r="AC76" t="s">
        <v>92</v>
      </c>
      <c r="BN76">
        <f t="shared" si="1"/>
        <v>43</v>
      </c>
    </row>
    <row r="77" spans="1:66" ht="16" x14ac:dyDescent="0.2">
      <c r="A77" t="s">
        <v>78</v>
      </c>
      <c r="G77" t="s">
        <v>102</v>
      </c>
      <c r="I77" t="s">
        <v>81</v>
      </c>
      <c r="J77">
        <v>4</v>
      </c>
      <c r="K77">
        <v>0</v>
      </c>
      <c r="L77">
        <v>3</v>
      </c>
      <c r="M77" t="s">
        <v>81</v>
      </c>
      <c r="N77" t="s">
        <v>81</v>
      </c>
      <c r="O77" s="6">
        <v>0</v>
      </c>
      <c r="P77" s="6">
        <v>1</v>
      </c>
      <c r="Q77" s="2" t="s">
        <v>352</v>
      </c>
      <c r="R77" s="2" t="s">
        <v>80</v>
      </c>
      <c r="S77" s="8"/>
      <c r="T77">
        <v>4000</v>
      </c>
      <c r="U77">
        <v>3000</v>
      </c>
      <c r="W77" t="s">
        <v>81</v>
      </c>
      <c r="BN77">
        <f t="shared" si="1"/>
        <v>49</v>
      </c>
    </row>
    <row r="78" spans="1:66" ht="32" x14ac:dyDescent="0.2">
      <c r="A78" t="s">
        <v>78</v>
      </c>
      <c r="B78" t="s">
        <v>355</v>
      </c>
      <c r="C78">
        <v>29.390751000000002</v>
      </c>
      <c r="D78">
        <v>79.457665000000006</v>
      </c>
      <c r="E78">
        <v>1905.599975585938</v>
      </c>
      <c r="F78">
        <v>11.45600032806396</v>
      </c>
      <c r="G78" t="s">
        <v>102</v>
      </c>
      <c r="I78" t="s">
        <v>78</v>
      </c>
      <c r="J78">
        <v>11</v>
      </c>
      <c r="K78">
        <v>0</v>
      </c>
      <c r="L78">
        <v>11</v>
      </c>
      <c r="M78" t="s">
        <v>98</v>
      </c>
      <c r="N78" t="s">
        <v>78</v>
      </c>
      <c r="O78" s="8">
        <v>1</v>
      </c>
      <c r="P78" s="8">
        <v>0</v>
      </c>
      <c r="Q78" s="2" t="s">
        <v>356</v>
      </c>
      <c r="R78" s="2" t="s">
        <v>80</v>
      </c>
      <c r="S78" s="8"/>
      <c r="T78">
        <v>15000</v>
      </c>
      <c r="U78">
        <v>15000</v>
      </c>
      <c r="W78" t="s">
        <v>81</v>
      </c>
      <c r="BN78">
        <f t="shared" si="1"/>
        <v>44</v>
      </c>
    </row>
    <row r="79" spans="1:66" ht="16" x14ac:dyDescent="0.2">
      <c r="A79" t="s">
        <v>78</v>
      </c>
      <c r="B79" t="s">
        <v>359</v>
      </c>
      <c r="C79">
        <v>29.39085</v>
      </c>
      <c r="D79">
        <v>79.457429000000005</v>
      </c>
      <c r="E79">
        <v>1906.300048828125</v>
      </c>
      <c r="F79">
        <v>16.23900032043457</v>
      </c>
      <c r="G79" t="s">
        <v>102</v>
      </c>
      <c r="I79" t="s">
        <v>78</v>
      </c>
      <c r="J79">
        <v>9</v>
      </c>
      <c r="K79">
        <v>4</v>
      </c>
      <c r="L79">
        <v>9</v>
      </c>
      <c r="M79" t="s">
        <v>98</v>
      </c>
      <c r="N79" t="s">
        <v>78</v>
      </c>
      <c r="O79" s="8">
        <v>1</v>
      </c>
      <c r="P79" s="8">
        <v>0</v>
      </c>
      <c r="Q79" s="2" t="s">
        <v>360</v>
      </c>
      <c r="R79" s="2" t="s">
        <v>80</v>
      </c>
      <c r="S79" s="8"/>
      <c r="T79">
        <v>50000</v>
      </c>
      <c r="U79">
        <v>13500</v>
      </c>
      <c r="W79" t="s">
        <v>81</v>
      </c>
      <c r="BN79">
        <f t="shared" si="1"/>
        <v>44</v>
      </c>
    </row>
    <row r="80" spans="1:66" ht="32" x14ac:dyDescent="0.2">
      <c r="A80" t="s">
        <v>78</v>
      </c>
      <c r="G80" t="s">
        <v>102</v>
      </c>
      <c r="I80" t="s">
        <v>81</v>
      </c>
      <c r="J80">
        <v>1</v>
      </c>
      <c r="L80">
        <v>0</v>
      </c>
      <c r="M80" t="s">
        <v>98</v>
      </c>
      <c r="N80" t="s">
        <v>78</v>
      </c>
      <c r="O80" s="8">
        <v>1</v>
      </c>
      <c r="P80" s="8">
        <v>0</v>
      </c>
      <c r="Q80" s="2" t="s">
        <v>363</v>
      </c>
      <c r="R80" s="2" t="s">
        <v>80</v>
      </c>
      <c r="S80" s="8"/>
      <c r="T80">
        <v>2000</v>
      </c>
      <c r="U80">
        <v>3000</v>
      </c>
      <c r="W80" t="s">
        <v>81</v>
      </c>
      <c r="BN80">
        <f t="shared" si="1"/>
        <v>50</v>
      </c>
    </row>
    <row r="81" spans="1:66" ht="16" x14ac:dyDescent="0.2">
      <c r="A81" t="s">
        <v>78</v>
      </c>
      <c r="B81" t="s">
        <v>366</v>
      </c>
      <c r="C81">
        <v>29.391772</v>
      </c>
      <c r="D81">
        <v>79.455549000000005</v>
      </c>
      <c r="E81">
        <v>1909.300048828125</v>
      </c>
      <c r="F81">
        <v>15.10700035095215</v>
      </c>
      <c r="G81" t="s">
        <v>102</v>
      </c>
      <c r="I81" t="s">
        <v>78</v>
      </c>
      <c r="J81">
        <v>3</v>
      </c>
      <c r="K81">
        <v>0</v>
      </c>
      <c r="L81">
        <v>3</v>
      </c>
      <c r="M81" t="s">
        <v>81</v>
      </c>
      <c r="N81" t="s">
        <v>78</v>
      </c>
      <c r="O81" s="8">
        <v>1</v>
      </c>
      <c r="P81" s="8">
        <v>0</v>
      </c>
      <c r="Q81" s="2" t="s">
        <v>224</v>
      </c>
      <c r="R81" s="2" t="s">
        <v>80</v>
      </c>
      <c r="S81" s="8"/>
      <c r="T81">
        <v>3500</v>
      </c>
      <c r="U81">
        <v>3500</v>
      </c>
      <c r="W81" t="s">
        <v>81</v>
      </c>
      <c r="BN81">
        <f t="shared" si="1"/>
        <v>44</v>
      </c>
    </row>
    <row r="82" spans="1:66" ht="16" x14ac:dyDescent="0.2">
      <c r="A82" t="s">
        <v>78</v>
      </c>
      <c r="B82" t="s">
        <v>369</v>
      </c>
      <c r="C82">
        <v>29.385778999999999</v>
      </c>
      <c r="D82">
        <v>79.462367999999998</v>
      </c>
      <c r="E82">
        <v>1946.209807322944</v>
      </c>
      <c r="F82">
        <v>20.90632651989042</v>
      </c>
      <c r="G82" t="s">
        <v>102</v>
      </c>
      <c r="I82" t="s">
        <v>78</v>
      </c>
      <c r="J82">
        <v>0</v>
      </c>
      <c r="K82">
        <v>0</v>
      </c>
      <c r="M82" t="s">
        <v>81</v>
      </c>
      <c r="N82" t="s">
        <v>78</v>
      </c>
      <c r="O82" s="8">
        <v>1</v>
      </c>
      <c r="P82" s="8">
        <v>0</v>
      </c>
      <c r="Q82" s="2" t="s">
        <v>199</v>
      </c>
      <c r="R82" s="2"/>
      <c r="S82" s="8"/>
      <c r="T82">
        <v>1500</v>
      </c>
      <c r="U82">
        <v>1200</v>
      </c>
      <c r="W82" t="s">
        <v>81</v>
      </c>
      <c r="AC82" t="s">
        <v>82</v>
      </c>
      <c r="BN82">
        <f t="shared" si="1"/>
        <v>45</v>
      </c>
    </row>
    <row r="83" spans="1:66" ht="16" x14ac:dyDescent="0.2">
      <c r="A83" t="s">
        <v>78</v>
      </c>
      <c r="B83" t="s">
        <v>372</v>
      </c>
      <c r="C83">
        <v>29.390962999999999</v>
      </c>
      <c r="D83">
        <v>79.457199000000003</v>
      </c>
      <c r="E83">
        <v>1905.900024414062</v>
      </c>
      <c r="F83">
        <v>35.615001678466797</v>
      </c>
      <c r="G83" t="s">
        <v>102</v>
      </c>
      <c r="I83" t="s">
        <v>78</v>
      </c>
      <c r="J83">
        <v>5</v>
      </c>
      <c r="K83">
        <v>5</v>
      </c>
      <c r="L83">
        <v>5</v>
      </c>
      <c r="M83" t="s">
        <v>81</v>
      </c>
      <c r="N83" t="s">
        <v>78</v>
      </c>
      <c r="O83" s="8">
        <v>1</v>
      </c>
      <c r="P83" s="8">
        <v>0</v>
      </c>
      <c r="Q83" s="2" t="s">
        <v>324</v>
      </c>
      <c r="R83" s="2" t="s">
        <v>80</v>
      </c>
      <c r="S83" s="8"/>
      <c r="T83">
        <v>3500</v>
      </c>
      <c r="U83">
        <v>3000</v>
      </c>
      <c r="W83" t="s">
        <v>81</v>
      </c>
      <c r="BN83">
        <f t="shared" si="1"/>
        <v>44</v>
      </c>
    </row>
    <row r="84" spans="1:66" ht="16" x14ac:dyDescent="0.2">
      <c r="B84" t="s">
        <v>375</v>
      </c>
      <c r="C84">
        <v>29.390412999999999</v>
      </c>
      <c r="D84">
        <v>79.455451999999994</v>
      </c>
      <c r="E84">
        <v>1945.0847615723401</v>
      </c>
      <c r="F84">
        <v>44.202048242422997</v>
      </c>
      <c r="G84" t="s">
        <v>89</v>
      </c>
      <c r="H84" t="s">
        <v>376</v>
      </c>
      <c r="I84" t="s">
        <v>81</v>
      </c>
      <c r="J84">
        <v>2</v>
      </c>
      <c r="K84">
        <v>2</v>
      </c>
      <c r="L84">
        <v>4</v>
      </c>
      <c r="M84" t="s">
        <v>81</v>
      </c>
      <c r="N84" t="s">
        <v>81</v>
      </c>
      <c r="O84" s="6">
        <v>0</v>
      </c>
      <c r="P84" s="6">
        <v>1</v>
      </c>
      <c r="Q84" s="2" t="s">
        <v>324</v>
      </c>
      <c r="R84" s="2"/>
      <c r="S84" s="8"/>
      <c r="T84">
        <v>10000</v>
      </c>
      <c r="U84">
        <v>5000</v>
      </c>
      <c r="W84" t="s">
        <v>81</v>
      </c>
      <c r="AC84" t="s">
        <v>82</v>
      </c>
      <c r="BN84">
        <f t="shared" si="1"/>
        <v>44</v>
      </c>
    </row>
    <row r="85" spans="1:66" ht="16" x14ac:dyDescent="0.2">
      <c r="A85" t="s">
        <v>78</v>
      </c>
      <c r="G85" t="s">
        <v>89</v>
      </c>
      <c r="H85" t="s">
        <v>379</v>
      </c>
      <c r="I85" t="s">
        <v>81</v>
      </c>
      <c r="J85">
        <v>2</v>
      </c>
      <c r="K85">
        <v>2</v>
      </c>
      <c r="L85">
        <v>2</v>
      </c>
      <c r="M85" t="s">
        <v>81</v>
      </c>
      <c r="N85" t="s">
        <v>78</v>
      </c>
      <c r="O85" s="8">
        <v>1</v>
      </c>
      <c r="P85" s="8">
        <v>0</v>
      </c>
      <c r="Q85" s="2" t="s">
        <v>380</v>
      </c>
      <c r="R85" s="2" t="s">
        <v>80</v>
      </c>
      <c r="S85" s="8"/>
      <c r="T85">
        <v>8500</v>
      </c>
      <c r="U85">
        <v>4000</v>
      </c>
      <c r="W85" t="s">
        <v>81</v>
      </c>
      <c r="BN85">
        <f t="shared" si="1"/>
        <v>48</v>
      </c>
    </row>
    <row r="86" spans="1:66" ht="16" x14ac:dyDescent="0.2">
      <c r="A86" t="s">
        <v>78</v>
      </c>
      <c r="B86" t="s">
        <v>383</v>
      </c>
      <c r="C86">
        <v>29.390947000000001</v>
      </c>
      <c r="D86">
        <v>79.457144999999997</v>
      </c>
      <c r="E86">
        <v>1905.900024414062</v>
      </c>
      <c r="F86">
        <v>20.125</v>
      </c>
      <c r="G86" t="s">
        <v>97</v>
      </c>
      <c r="I86" t="s">
        <v>78</v>
      </c>
      <c r="J86">
        <v>12</v>
      </c>
      <c r="K86">
        <v>12</v>
      </c>
      <c r="L86">
        <v>6</v>
      </c>
      <c r="M86" t="s">
        <v>81</v>
      </c>
      <c r="N86" t="s">
        <v>78</v>
      </c>
      <c r="O86" s="8">
        <v>1</v>
      </c>
      <c r="P86" s="8">
        <v>0</v>
      </c>
      <c r="Q86" s="2" t="s">
        <v>190</v>
      </c>
      <c r="R86" s="2" t="s">
        <v>80</v>
      </c>
      <c r="S86" s="8"/>
      <c r="T86">
        <v>22000</v>
      </c>
      <c r="U86">
        <v>18000</v>
      </c>
      <c r="W86" t="s">
        <v>81</v>
      </c>
      <c r="X86" t="s">
        <v>78</v>
      </c>
      <c r="AB86">
        <v>20000</v>
      </c>
      <c r="AC86" t="s">
        <v>92</v>
      </c>
      <c r="AD86" t="s">
        <v>384</v>
      </c>
      <c r="AE86" t="s">
        <v>83</v>
      </c>
      <c r="AF86">
        <v>1</v>
      </c>
      <c r="AG86">
        <v>0</v>
      </c>
      <c r="AH86">
        <v>0</v>
      </c>
      <c r="AI86">
        <v>0</v>
      </c>
      <c r="AJ86">
        <v>5000</v>
      </c>
      <c r="AK86">
        <v>17000</v>
      </c>
      <c r="BN86">
        <f t="shared" si="1"/>
        <v>33</v>
      </c>
    </row>
    <row r="87" spans="1:66" ht="16" x14ac:dyDescent="0.2">
      <c r="A87" t="s">
        <v>78</v>
      </c>
      <c r="B87" t="s">
        <v>387</v>
      </c>
      <c r="C87">
        <v>29.391770000000001</v>
      </c>
      <c r="D87">
        <v>79.455450999999996</v>
      </c>
      <c r="E87">
        <v>1909.5</v>
      </c>
      <c r="F87">
        <v>20</v>
      </c>
      <c r="G87" t="s">
        <v>102</v>
      </c>
      <c r="I87" t="s">
        <v>78</v>
      </c>
      <c r="J87">
        <v>4</v>
      </c>
      <c r="K87">
        <v>0</v>
      </c>
      <c r="L87">
        <v>3</v>
      </c>
      <c r="M87" t="s">
        <v>98</v>
      </c>
      <c r="N87" t="s">
        <v>78</v>
      </c>
      <c r="O87" s="8">
        <v>1</v>
      </c>
      <c r="P87" s="8">
        <v>0</v>
      </c>
      <c r="Q87" s="2" t="s">
        <v>224</v>
      </c>
      <c r="R87" s="2" t="s">
        <v>80</v>
      </c>
      <c r="S87" s="8"/>
      <c r="T87">
        <v>5500</v>
      </c>
      <c r="U87">
        <v>5000</v>
      </c>
      <c r="W87" t="s">
        <v>81</v>
      </c>
      <c r="BN87">
        <f t="shared" si="1"/>
        <v>44</v>
      </c>
    </row>
    <row r="88" spans="1:66" ht="16" x14ac:dyDescent="0.2">
      <c r="A88" t="s">
        <v>78</v>
      </c>
      <c r="B88" t="s">
        <v>390</v>
      </c>
      <c r="C88">
        <v>29.389218</v>
      </c>
      <c r="D88">
        <v>79.453733</v>
      </c>
      <c r="E88">
        <v>1903.099975585938</v>
      </c>
      <c r="F88">
        <v>23.152999877929691</v>
      </c>
      <c r="G88" t="s">
        <v>102</v>
      </c>
      <c r="I88" t="s">
        <v>78</v>
      </c>
      <c r="J88">
        <v>2</v>
      </c>
      <c r="K88">
        <v>2</v>
      </c>
      <c r="M88" t="s">
        <v>98</v>
      </c>
      <c r="N88" t="s">
        <v>78</v>
      </c>
      <c r="O88" s="8">
        <v>1</v>
      </c>
      <c r="P88" s="8">
        <v>0</v>
      </c>
      <c r="Q88" s="2" t="s">
        <v>324</v>
      </c>
      <c r="R88" s="2"/>
      <c r="S88" s="8"/>
      <c r="T88">
        <v>1500</v>
      </c>
      <c r="U88">
        <v>1500</v>
      </c>
      <c r="W88" t="s">
        <v>81</v>
      </c>
      <c r="BN88">
        <f t="shared" si="1"/>
        <v>46</v>
      </c>
    </row>
    <row r="89" spans="1:66" ht="16" x14ac:dyDescent="0.2">
      <c r="A89" t="s">
        <v>78</v>
      </c>
      <c r="B89" t="s">
        <v>393</v>
      </c>
      <c r="C89">
        <v>29.385656000000001</v>
      </c>
      <c r="D89">
        <v>79.462586999999999</v>
      </c>
      <c r="E89">
        <v>1954.1442298972979</v>
      </c>
      <c r="F89">
        <v>4.7337748730817939</v>
      </c>
      <c r="G89" t="s">
        <v>106</v>
      </c>
      <c r="I89" t="s">
        <v>78</v>
      </c>
      <c r="J89">
        <v>50</v>
      </c>
      <c r="K89">
        <v>0</v>
      </c>
      <c r="L89">
        <v>50</v>
      </c>
      <c r="M89" t="s">
        <v>81</v>
      </c>
      <c r="N89" t="s">
        <v>78</v>
      </c>
      <c r="O89" s="8">
        <v>1</v>
      </c>
      <c r="P89" s="8">
        <v>0</v>
      </c>
      <c r="Q89" s="2"/>
      <c r="R89" s="2" t="s">
        <v>80</v>
      </c>
      <c r="S89" s="8"/>
      <c r="T89">
        <v>250000</v>
      </c>
      <c r="U89">
        <v>150000</v>
      </c>
      <c r="W89" t="s">
        <v>81</v>
      </c>
      <c r="X89" t="s">
        <v>81</v>
      </c>
      <c r="Y89">
        <v>80</v>
      </c>
      <c r="AA89" t="s">
        <v>78</v>
      </c>
      <c r="AB89">
        <v>10000</v>
      </c>
      <c r="AC89" t="s">
        <v>82</v>
      </c>
      <c r="AE89" t="s">
        <v>83</v>
      </c>
      <c r="AF89">
        <v>1</v>
      </c>
      <c r="AG89">
        <v>0</v>
      </c>
      <c r="AH89">
        <v>0</v>
      </c>
      <c r="AI89">
        <v>0</v>
      </c>
      <c r="AJ89">
        <v>36000</v>
      </c>
      <c r="BN89">
        <f t="shared" si="1"/>
        <v>34</v>
      </c>
    </row>
    <row r="90" spans="1:66" ht="16" x14ac:dyDescent="0.2">
      <c r="A90" t="s">
        <v>78</v>
      </c>
      <c r="B90" t="s">
        <v>396</v>
      </c>
      <c r="C90">
        <v>29.391030000000001</v>
      </c>
      <c r="D90">
        <v>79.457241999999994</v>
      </c>
      <c r="E90">
        <v>1906.099975585938</v>
      </c>
      <c r="F90">
        <v>9.4630002975463867</v>
      </c>
      <c r="G90" t="s">
        <v>102</v>
      </c>
      <c r="I90" t="s">
        <v>78</v>
      </c>
      <c r="J90">
        <v>1</v>
      </c>
      <c r="K90">
        <v>12</v>
      </c>
      <c r="L90">
        <v>10</v>
      </c>
      <c r="M90" t="s">
        <v>81</v>
      </c>
      <c r="N90" t="s">
        <v>78</v>
      </c>
      <c r="O90" s="8">
        <v>1</v>
      </c>
      <c r="P90" s="8">
        <v>0</v>
      </c>
      <c r="Q90" s="2" t="s">
        <v>397</v>
      </c>
      <c r="R90" s="2" t="s">
        <v>80</v>
      </c>
      <c r="S90" s="8"/>
      <c r="T90">
        <v>15000</v>
      </c>
      <c r="U90">
        <v>10000</v>
      </c>
      <c r="W90" t="s">
        <v>81</v>
      </c>
      <c r="BN90">
        <f t="shared" si="1"/>
        <v>44</v>
      </c>
    </row>
    <row r="91" spans="1:66" ht="16" x14ac:dyDescent="0.2">
      <c r="A91" t="s">
        <v>78</v>
      </c>
      <c r="B91" t="s">
        <v>400</v>
      </c>
      <c r="C91">
        <v>29.391029</v>
      </c>
      <c r="D91">
        <v>79.457250000000002</v>
      </c>
      <c r="E91">
        <v>1906.099975585938</v>
      </c>
      <c r="F91">
        <v>13.43200016021729</v>
      </c>
      <c r="G91" t="s">
        <v>97</v>
      </c>
      <c r="I91" t="s">
        <v>78</v>
      </c>
      <c r="J91">
        <v>15</v>
      </c>
      <c r="K91">
        <v>0</v>
      </c>
      <c r="L91">
        <v>15</v>
      </c>
      <c r="M91" t="s">
        <v>98</v>
      </c>
      <c r="N91" t="s">
        <v>78</v>
      </c>
      <c r="O91" s="8">
        <v>1</v>
      </c>
      <c r="P91" s="8">
        <v>0</v>
      </c>
      <c r="Q91" s="2" t="s">
        <v>401</v>
      </c>
      <c r="R91" s="2" t="s">
        <v>80</v>
      </c>
      <c r="S91" s="8"/>
      <c r="T91">
        <v>15000</v>
      </c>
      <c r="U91">
        <v>10000</v>
      </c>
      <c r="W91" t="s">
        <v>81</v>
      </c>
      <c r="X91" t="s">
        <v>78</v>
      </c>
      <c r="AB91">
        <v>1000</v>
      </c>
      <c r="AC91" t="s">
        <v>92</v>
      </c>
      <c r="AD91" t="s">
        <v>402</v>
      </c>
      <c r="AE91" t="s">
        <v>83</v>
      </c>
      <c r="AF91">
        <v>1</v>
      </c>
      <c r="AG91">
        <v>0</v>
      </c>
      <c r="AH91">
        <v>0</v>
      </c>
      <c r="AI91">
        <v>0</v>
      </c>
      <c r="AJ91">
        <v>5000</v>
      </c>
      <c r="AK91">
        <v>20000</v>
      </c>
      <c r="BN91">
        <f t="shared" si="1"/>
        <v>33</v>
      </c>
    </row>
    <row r="92" spans="1:66" ht="16" x14ac:dyDescent="0.2">
      <c r="A92" t="s">
        <v>78</v>
      </c>
      <c r="G92" t="s">
        <v>79</v>
      </c>
      <c r="I92" t="s">
        <v>78</v>
      </c>
      <c r="J92">
        <v>2</v>
      </c>
      <c r="K92">
        <v>0</v>
      </c>
      <c r="L92">
        <v>2</v>
      </c>
      <c r="M92" t="s">
        <v>81</v>
      </c>
      <c r="N92" t="s">
        <v>78</v>
      </c>
      <c r="O92" s="8">
        <v>1</v>
      </c>
      <c r="P92" s="8">
        <v>0</v>
      </c>
      <c r="Q92" s="2" t="s">
        <v>405</v>
      </c>
      <c r="R92" s="2" t="s">
        <v>80</v>
      </c>
      <c r="S92" s="8"/>
      <c r="T92">
        <v>1000</v>
      </c>
      <c r="U92">
        <v>400</v>
      </c>
      <c r="W92" t="s">
        <v>81</v>
      </c>
      <c r="AC92" t="s">
        <v>92</v>
      </c>
      <c r="BN92">
        <f t="shared" si="1"/>
        <v>48</v>
      </c>
    </row>
    <row r="93" spans="1:66" ht="16" x14ac:dyDescent="0.2">
      <c r="A93" t="s">
        <v>78</v>
      </c>
      <c r="B93" t="s">
        <v>408</v>
      </c>
      <c r="C93">
        <v>29.392733</v>
      </c>
      <c r="D93">
        <v>79.455243999999993</v>
      </c>
      <c r="E93">
        <v>1926.099975585938</v>
      </c>
      <c r="F93">
        <v>20</v>
      </c>
      <c r="G93" t="s">
        <v>106</v>
      </c>
      <c r="I93" t="s">
        <v>78</v>
      </c>
      <c r="J93">
        <v>6</v>
      </c>
      <c r="K93">
        <v>4</v>
      </c>
      <c r="L93">
        <v>1</v>
      </c>
      <c r="M93" t="s">
        <v>81</v>
      </c>
      <c r="N93" t="s">
        <v>78</v>
      </c>
      <c r="O93" s="8">
        <v>1</v>
      </c>
      <c r="P93" s="8">
        <v>0</v>
      </c>
      <c r="Q93" s="2" t="s">
        <v>409</v>
      </c>
      <c r="R93" s="2" t="s">
        <v>80</v>
      </c>
      <c r="S93" s="8"/>
      <c r="T93">
        <v>18000</v>
      </c>
      <c r="U93">
        <v>10000</v>
      </c>
      <c r="W93" t="s">
        <v>81</v>
      </c>
      <c r="X93" t="s">
        <v>81</v>
      </c>
      <c r="Y93">
        <v>50</v>
      </c>
      <c r="Z93">
        <v>50</v>
      </c>
      <c r="AA93" t="s">
        <v>81</v>
      </c>
      <c r="AB93">
        <v>10000</v>
      </c>
      <c r="AC93" t="s">
        <v>114</v>
      </c>
      <c r="AD93" t="s">
        <v>410</v>
      </c>
      <c r="AE93" t="s">
        <v>83</v>
      </c>
      <c r="AF93">
        <v>1</v>
      </c>
      <c r="AG93">
        <v>0</v>
      </c>
      <c r="AH93">
        <v>0</v>
      </c>
      <c r="AI93">
        <v>0</v>
      </c>
      <c r="AJ93">
        <v>800</v>
      </c>
      <c r="AK93">
        <v>11200</v>
      </c>
      <c r="BN93">
        <f t="shared" si="1"/>
        <v>30</v>
      </c>
    </row>
    <row r="94" spans="1:66" ht="16" x14ac:dyDescent="0.2">
      <c r="A94" t="s">
        <v>78</v>
      </c>
      <c r="B94" t="s">
        <v>413</v>
      </c>
      <c r="C94">
        <v>29.389282000000001</v>
      </c>
      <c r="D94">
        <v>79.453905000000006</v>
      </c>
      <c r="E94">
        <v>1902</v>
      </c>
      <c r="F94">
        <v>4.4250001907348633</v>
      </c>
      <c r="G94" t="s">
        <v>102</v>
      </c>
      <c r="I94" t="s">
        <v>81</v>
      </c>
      <c r="J94">
        <v>1</v>
      </c>
      <c r="K94">
        <v>0</v>
      </c>
      <c r="L94">
        <v>0</v>
      </c>
      <c r="M94" t="s">
        <v>81</v>
      </c>
      <c r="N94" t="s">
        <v>78</v>
      </c>
      <c r="O94" s="8">
        <v>1</v>
      </c>
      <c r="P94" s="8">
        <v>0</v>
      </c>
      <c r="Q94" s="2" t="s">
        <v>414</v>
      </c>
      <c r="R94" s="2"/>
      <c r="S94" s="8"/>
      <c r="T94">
        <v>700</v>
      </c>
      <c r="U94">
        <v>700</v>
      </c>
      <c r="W94" t="s">
        <v>81</v>
      </c>
      <c r="AC94" t="s">
        <v>82</v>
      </c>
      <c r="BN94">
        <f t="shared" si="1"/>
        <v>44</v>
      </c>
    </row>
    <row r="95" spans="1:66" ht="16" x14ac:dyDescent="0.2">
      <c r="A95" t="s">
        <v>78</v>
      </c>
      <c r="B95" t="s">
        <v>417</v>
      </c>
      <c r="C95">
        <v>29.385124999999999</v>
      </c>
      <c r="D95">
        <v>79.463791999999998</v>
      </c>
      <c r="E95">
        <v>1942</v>
      </c>
      <c r="F95">
        <v>19.941999435424801</v>
      </c>
      <c r="G95" t="s">
        <v>106</v>
      </c>
      <c r="I95" t="s">
        <v>78</v>
      </c>
      <c r="J95">
        <v>3</v>
      </c>
      <c r="K95">
        <v>2</v>
      </c>
      <c r="L95">
        <v>2</v>
      </c>
      <c r="M95" t="s">
        <v>81</v>
      </c>
      <c r="N95" t="s">
        <v>78</v>
      </c>
      <c r="O95" s="8">
        <v>1</v>
      </c>
      <c r="P95" s="8">
        <v>0</v>
      </c>
      <c r="Q95" s="2" t="s">
        <v>418</v>
      </c>
      <c r="R95" s="2" t="s">
        <v>80</v>
      </c>
      <c r="S95" s="8"/>
      <c r="T95">
        <v>20000</v>
      </c>
      <c r="U95">
        <v>10000</v>
      </c>
      <c r="W95" t="s">
        <v>81</v>
      </c>
      <c r="X95" t="s">
        <v>81</v>
      </c>
      <c r="Y95">
        <v>16</v>
      </c>
      <c r="Z95">
        <v>18</v>
      </c>
      <c r="AA95" t="s">
        <v>81</v>
      </c>
      <c r="AB95">
        <v>1000</v>
      </c>
      <c r="AC95" t="s">
        <v>92</v>
      </c>
      <c r="AD95" t="s">
        <v>419</v>
      </c>
      <c r="AE95" t="s">
        <v>83</v>
      </c>
      <c r="AF95">
        <v>1</v>
      </c>
      <c r="AG95">
        <v>0</v>
      </c>
      <c r="AH95">
        <v>0</v>
      </c>
      <c r="AI95">
        <v>0</v>
      </c>
      <c r="AJ95">
        <v>45000</v>
      </c>
      <c r="AK95">
        <v>60000</v>
      </c>
      <c r="BN95">
        <f t="shared" si="1"/>
        <v>30</v>
      </c>
    </row>
    <row r="96" spans="1:66" ht="16" x14ac:dyDescent="0.2">
      <c r="A96" t="s">
        <v>78</v>
      </c>
      <c r="G96" t="s">
        <v>106</v>
      </c>
      <c r="I96" t="s">
        <v>78</v>
      </c>
      <c r="J96">
        <v>15</v>
      </c>
      <c r="K96">
        <v>25</v>
      </c>
      <c r="L96">
        <v>5</v>
      </c>
      <c r="M96" t="s">
        <v>81</v>
      </c>
      <c r="N96" t="s">
        <v>78</v>
      </c>
      <c r="O96" s="8">
        <v>1</v>
      </c>
      <c r="P96" s="8">
        <v>0</v>
      </c>
      <c r="Q96" s="2" t="s">
        <v>405</v>
      </c>
      <c r="R96" s="2" t="s">
        <v>80</v>
      </c>
      <c r="S96" s="8"/>
      <c r="T96">
        <v>80000</v>
      </c>
      <c r="U96">
        <v>60000</v>
      </c>
      <c r="W96" t="s">
        <v>81</v>
      </c>
      <c r="X96" t="s">
        <v>78</v>
      </c>
      <c r="Y96">
        <v>70</v>
      </c>
      <c r="Z96">
        <v>170</v>
      </c>
      <c r="AA96" t="s">
        <v>78</v>
      </c>
      <c r="AB96">
        <v>40000</v>
      </c>
      <c r="AC96" t="s">
        <v>82</v>
      </c>
      <c r="AE96" t="s">
        <v>83</v>
      </c>
      <c r="AF96">
        <v>1</v>
      </c>
      <c r="AG96">
        <v>0</v>
      </c>
      <c r="AH96">
        <v>0</v>
      </c>
      <c r="AI96">
        <v>0</v>
      </c>
      <c r="AJ96">
        <v>25000</v>
      </c>
      <c r="AK96">
        <v>70000</v>
      </c>
      <c r="BN96">
        <f t="shared" si="1"/>
        <v>36</v>
      </c>
    </row>
    <row r="97" spans="1:66" ht="16" x14ac:dyDescent="0.2">
      <c r="A97" t="s">
        <v>78</v>
      </c>
      <c r="G97" t="s">
        <v>102</v>
      </c>
      <c r="I97" t="s">
        <v>78</v>
      </c>
      <c r="J97">
        <v>2</v>
      </c>
      <c r="K97">
        <v>0</v>
      </c>
      <c r="L97">
        <v>2</v>
      </c>
      <c r="M97" t="s">
        <v>81</v>
      </c>
      <c r="N97" t="s">
        <v>81</v>
      </c>
      <c r="O97" s="6">
        <v>0</v>
      </c>
      <c r="P97" s="6">
        <v>1</v>
      </c>
      <c r="Q97" s="2" t="s">
        <v>424</v>
      </c>
      <c r="R97" s="2" t="s">
        <v>80</v>
      </c>
      <c r="S97" s="8"/>
      <c r="T97">
        <v>2000</v>
      </c>
      <c r="U97">
        <v>2000</v>
      </c>
      <c r="W97" t="s">
        <v>81</v>
      </c>
      <c r="BN97">
        <f t="shared" si="1"/>
        <v>49</v>
      </c>
    </row>
    <row r="98" spans="1:66" x14ac:dyDescent="0.2">
      <c r="G98" t="s">
        <v>106</v>
      </c>
      <c r="I98" t="s">
        <v>78</v>
      </c>
      <c r="M98" t="s">
        <v>81</v>
      </c>
      <c r="N98" t="s">
        <v>81</v>
      </c>
      <c r="O98" s="6">
        <v>0</v>
      </c>
      <c r="P98" s="6">
        <v>1</v>
      </c>
      <c r="Q98" s="2"/>
      <c r="R98" s="2"/>
      <c r="S98" s="8"/>
      <c r="W98" t="s">
        <v>81</v>
      </c>
      <c r="X98" t="s">
        <v>78</v>
      </c>
      <c r="Y98">
        <v>32</v>
      </c>
      <c r="Z98">
        <v>40</v>
      </c>
      <c r="AA98" t="s">
        <v>78</v>
      </c>
      <c r="AC98" t="s">
        <v>92</v>
      </c>
      <c r="AE98" t="s">
        <v>83</v>
      </c>
      <c r="AF98">
        <v>1</v>
      </c>
      <c r="AG98">
        <v>0</v>
      </c>
      <c r="AH98">
        <v>0</v>
      </c>
      <c r="AI98">
        <v>0</v>
      </c>
      <c r="BN98">
        <f t="shared" si="1"/>
        <v>47</v>
      </c>
    </row>
    <row r="99" spans="1:66" ht="16" x14ac:dyDescent="0.2">
      <c r="A99" t="s">
        <v>78</v>
      </c>
      <c r="B99" t="s">
        <v>429</v>
      </c>
      <c r="C99">
        <v>29.379087999999999</v>
      </c>
      <c r="D99">
        <v>79.467719000000002</v>
      </c>
      <c r="E99">
        <v>1988.800048828125</v>
      </c>
      <c r="F99">
        <v>7.6999998092651367</v>
      </c>
      <c r="G99" t="s">
        <v>97</v>
      </c>
      <c r="I99" t="s">
        <v>78</v>
      </c>
      <c r="J99">
        <v>10</v>
      </c>
      <c r="K99">
        <v>0</v>
      </c>
      <c r="L99">
        <v>0</v>
      </c>
      <c r="M99" t="s">
        <v>98</v>
      </c>
      <c r="N99" t="s">
        <v>78</v>
      </c>
      <c r="O99" s="8">
        <v>1</v>
      </c>
      <c r="P99" s="8">
        <v>0</v>
      </c>
      <c r="Q99" s="2" t="s">
        <v>430</v>
      </c>
      <c r="R99" s="2" t="s">
        <v>80</v>
      </c>
      <c r="S99" s="8"/>
      <c r="T99">
        <v>3000</v>
      </c>
      <c r="U99">
        <v>3000</v>
      </c>
      <c r="W99" t="s">
        <v>81</v>
      </c>
      <c r="X99" t="s">
        <v>78</v>
      </c>
      <c r="AB99">
        <v>1000</v>
      </c>
      <c r="AC99" t="s">
        <v>92</v>
      </c>
      <c r="AD99" t="s">
        <v>431</v>
      </c>
      <c r="AE99" t="s">
        <v>83</v>
      </c>
      <c r="AF99">
        <v>1</v>
      </c>
      <c r="AG99">
        <v>0</v>
      </c>
      <c r="AH99">
        <v>0</v>
      </c>
      <c r="AI99">
        <v>0</v>
      </c>
      <c r="AJ99">
        <v>1200</v>
      </c>
      <c r="AK99">
        <v>400</v>
      </c>
      <c r="BN99">
        <f t="shared" si="1"/>
        <v>33</v>
      </c>
    </row>
    <row r="100" spans="1:66" ht="16" x14ac:dyDescent="0.2">
      <c r="A100" t="s">
        <v>78</v>
      </c>
      <c r="G100" t="s">
        <v>97</v>
      </c>
      <c r="I100" t="s">
        <v>78</v>
      </c>
      <c r="J100">
        <v>5</v>
      </c>
      <c r="K100">
        <v>0</v>
      </c>
      <c r="L100">
        <v>4</v>
      </c>
      <c r="M100" t="s">
        <v>81</v>
      </c>
      <c r="N100" t="s">
        <v>78</v>
      </c>
      <c r="O100" s="8">
        <v>1</v>
      </c>
      <c r="P100" s="8">
        <v>0</v>
      </c>
      <c r="Q100" s="2"/>
      <c r="R100" s="2" t="s">
        <v>80</v>
      </c>
      <c r="S100" s="8"/>
      <c r="T100">
        <v>3000</v>
      </c>
      <c r="U100">
        <v>2500</v>
      </c>
      <c r="W100" t="s">
        <v>78</v>
      </c>
      <c r="X100" t="s">
        <v>81</v>
      </c>
      <c r="AB100">
        <v>1000</v>
      </c>
      <c r="AC100" t="s">
        <v>92</v>
      </c>
      <c r="AE100" t="s">
        <v>83</v>
      </c>
      <c r="AF100">
        <v>1</v>
      </c>
      <c r="AG100">
        <v>0</v>
      </c>
      <c r="AH100">
        <v>0</v>
      </c>
      <c r="AI100">
        <v>0</v>
      </c>
      <c r="AJ100">
        <v>150000</v>
      </c>
      <c r="AK100">
        <v>200000</v>
      </c>
      <c r="BN100">
        <f t="shared" si="1"/>
        <v>40</v>
      </c>
    </row>
    <row r="101" spans="1:66" ht="16" x14ac:dyDescent="0.2">
      <c r="A101" t="s">
        <v>78</v>
      </c>
      <c r="B101" t="s">
        <v>436</v>
      </c>
      <c r="C101">
        <v>29.390381999999999</v>
      </c>
      <c r="D101">
        <v>79.454015999999996</v>
      </c>
      <c r="E101">
        <v>1949.076926184279</v>
      </c>
      <c r="F101">
        <v>26.961644204487481</v>
      </c>
      <c r="G101" t="s">
        <v>102</v>
      </c>
      <c r="I101" t="s">
        <v>81</v>
      </c>
      <c r="J101">
        <v>1</v>
      </c>
      <c r="K101">
        <v>0</v>
      </c>
      <c r="L101">
        <v>0</v>
      </c>
      <c r="M101" t="s">
        <v>98</v>
      </c>
      <c r="N101" t="s">
        <v>78</v>
      </c>
      <c r="O101" s="8">
        <v>1</v>
      </c>
      <c r="P101" s="8">
        <v>0</v>
      </c>
      <c r="Q101" s="2" t="s">
        <v>324</v>
      </c>
      <c r="R101" s="2" t="s">
        <v>80</v>
      </c>
      <c r="S101" s="8"/>
      <c r="T101">
        <v>3000</v>
      </c>
      <c r="U101">
        <v>3000</v>
      </c>
      <c r="W101" t="s">
        <v>81</v>
      </c>
      <c r="AC101" t="s">
        <v>82</v>
      </c>
      <c r="BN101">
        <f t="shared" si="1"/>
        <v>43</v>
      </c>
    </row>
    <row r="102" spans="1:66" x14ac:dyDescent="0.2">
      <c r="A102" t="s">
        <v>78</v>
      </c>
      <c r="G102" t="s">
        <v>102</v>
      </c>
      <c r="I102" t="s">
        <v>78</v>
      </c>
      <c r="J102">
        <v>1</v>
      </c>
      <c r="K102">
        <v>0</v>
      </c>
      <c r="L102">
        <v>1</v>
      </c>
      <c r="M102" t="s">
        <v>81</v>
      </c>
      <c r="N102" t="s">
        <v>78</v>
      </c>
      <c r="O102" s="8">
        <v>1</v>
      </c>
      <c r="P102" s="8">
        <v>0</v>
      </c>
      <c r="Q102" s="2"/>
      <c r="R102" s="2"/>
      <c r="S102" s="8"/>
      <c r="T102">
        <v>250</v>
      </c>
      <c r="U102">
        <v>250</v>
      </c>
      <c r="V102" t="s">
        <v>81</v>
      </c>
      <c r="X102" t="s">
        <v>81</v>
      </c>
      <c r="AA102" t="s">
        <v>81</v>
      </c>
      <c r="BN102">
        <f t="shared" si="1"/>
        <v>49</v>
      </c>
    </row>
    <row r="103" spans="1:66" ht="16" x14ac:dyDescent="0.2">
      <c r="A103" t="s">
        <v>78</v>
      </c>
      <c r="G103" t="s">
        <v>97</v>
      </c>
      <c r="I103" t="s">
        <v>78</v>
      </c>
      <c r="J103">
        <v>5</v>
      </c>
      <c r="L103">
        <v>5</v>
      </c>
      <c r="M103" t="s">
        <v>81</v>
      </c>
      <c r="N103" t="s">
        <v>78</v>
      </c>
      <c r="O103" s="8">
        <v>1</v>
      </c>
      <c r="P103" s="8">
        <v>0</v>
      </c>
      <c r="Q103" s="2"/>
      <c r="R103" s="2" t="s">
        <v>80</v>
      </c>
      <c r="S103" s="8"/>
      <c r="T103">
        <v>5000</v>
      </c>
      <c r="U103">
        <v>3600</v>
      </c>
      <c r="W103" t="s">
        <v>81</v>
      </c>
      <c r="X103" t="s">
        <v>81</v>
      </c>
      <c r="AB103">
        <v>2000</v>
      </c>
      <c r="AC103" t="s">
        <v>82</v>
      </c>
      <c r="AE103" t="s">
        <v>83</v>
      </c>
      <c r="AF103">
        <v>1</v>
      </c>
      <c r="AG103">
        <v>0</v>
      </c>
      <c r="AH103">
        <v>0</v>
      </c>
      <c r="AI103">
        <v>0</v>
      </c>
      <c r="AJ103">
        <v>2000</v>
      </c>
      <c r="AK103">
        <v>24000</v>
      </c>
      <c r="BN103">
        <f t="shared" si="1"/>
        <v>41</v>
      </c>
    </row>
    <row r="104" spans="1:66" ht="16" x14ac:dyDescent="0.2">
      <c r="A104" t="s">
        <v>78</v>
      </c>
      <c r="B104" t="s">
        <v>443</v>
      </c>
      <c r="C104">
        <v>29.383725999999999</v>
      </c>
      <c r="D104">
        <v>79.464095</v>
      </c>
      <c r="E104">
        <v>1929.400024414062</v>
      </c>
      <c r="F104">
        <v>12.902999877929689</v>
      </c>
      <c r="G104" t="s">
        <v>106</v>
      </c>
      <c r="I104" t="s">
        <v>78</v>
      </c>
      <c r="J104">
        <v>18</v>
      </c>
      <c r="K104">
        <v>5</v>
      </c>
      <c r="L104">
        <v>8</v>
      </c>
      <c r="M104" t="s">
        <v>81</v>
      </c>
      <c r="N104" t="s">
        <v>78</v>
      </c>
      <c r="O104" s="8">
        <v>1</v>
      </c>
      <c r="P104" s="8">
        <v>0</v>
      </c>
      <c r="Q104" s="2" t="s">
        <v>190</v>
      </c>
      <c r="R104" s="2" t="s">
        <v>80</v>
      </c>
      <c r="S104" s="8"/>
      <c r="T104">
        <v>33000</v>
      </c>
      <c r="U104">
        <v>21000</v>
      </c>
      <c r="W104" t="s">
        <v>81</v>
      </c>
      <c r="X104" t="s">
        <v>81</v>
      </c>
      <c r="Y104">
        <v>50</v>
      </c>
      <c r="Z104">
        <v>160</v>
      </c>
      <c r="AA104" t="s">
        <v>78</v>
      </c>
      <c r="AB104">
        <v>2000</v>
      </c>
      <c r="AC104" t="s">
        <v>92</v>
      </c>
      <c r="AD104" t="s">
        <v>444</v>
      </c>
      <c r="AE104" t="s">
        <v>445</v>
      </c>
      <c r="AF104">
        <v>1</v>
      </c>
      <c r="AG104">
        <v>1</v>
      </c>
      <c r="AH104">
        <v>0</v>
      </c>
      <c r="AI104">
        <v>0</v>
      </c>
      <c r="AJ104">
        <v>84000</v>
      </c>
      <c r="AK104">
        <v>216000</v>
      </c>
      <c r="BN104">
        <f t="shared" si="1"/>
        <v>30</v>
      </c>
    </row>
    <row r="105" spans="1:66" ht="16" x14ac:dyDescent="0.2">
      <c r="A105" t="s">
        <v>78</v>
      </c>
      <c r="B105" t="s">
        <v>448</v>
      </c>
      <c r="C105">
        <v>29.391815999999999</v>
      </c>
      <c r="D105">
        <v>79.455314999999999</v>
      </c>
      <c r="E105">
        <v>1909.699951171875</v>
      </c>
      <c r="F105">
        <v>9.3559999465942383</v>
      </c>
      <c r="G105" t="s">
        <v>106</v>
      </c>
      <c r="I105" t="s">
        <v>78</v>
      </c>
      <c r="J105">
        <v>18</v>
      </c>
      <c r="K105">
        <v>0</v>
      </c>
      <c r="L105">
        <v>10</v>
      </c>
      <c r="M105" t="s">
        <v>98</v>
      </c>
      <c r="N105" t="s">
        <v>78</v>
      </c>
      <c r="O105" s="8">
        <v>1</v>
      </c>
      <c r="P105" s="8">
        <v>0</v>
      </c>
      <c r="Q105" s="2" t="s">
        <v>190</v>
      </c>
      <c r="R105" s="2" t="s">
        <v>80</v>
      </c>
      <c r="S105" s="8"/>
      <c r="T105">
        <v>20000</v>
      </c>
      <c r="U105">
        <v>20000</v>
      </c>
      <c r="W105" t="s">
        <v>81</v>
      </c>
      <c r="X105" t="s">
        <v>81</v>
      </c>
      <c r="Y105">
        <v>36</v>
      </c>
      <c r="Z105">
        <v>30</v>
      </c>
      <c r="AA105" t="s">
        <v>81</v>
      </c>
      <c r="AB105">
        <v>0</v>
      </c>
      <c r="AC105" t="s">
        <v>82</v>
      </c>
      <c r="AE105" t="s">
        <v>83</v>
      </c>
      <c r="AF105">
        <v>1</v>
      </c>
      <c r="AG105">
        <v>0</v>
      </c>
      <c r="AH105">
        <v>0</v>
      </c>
      <c r="AI105">
        <v>0</v>
      </c>
      <c r="AJ105">
        <v>50000</v>
      </c>
      <c r="AK105">
        <v>0</v>
      </c>
      <c r="BN105">
        <f t="shared" si="1"/>
        <v>31</v>
      </c>
    </row>
    <row r="106" spans="1:66" ht="16" x14ac:dyDescent="0.2">
      <c r="A106" t="s">
        <v>78</v>
      </c>
      <c r="G106" t="s">
        <v>102</v>
      </c>
      <c r="I106" t="s">
        <v>78</v>
      </c>
      <c r="J106">
        <v>3</v>
      </c>
      <c r="K106">
        <v>3</v>
      </c>
      <c r="L106">
        <v>3</v>
      </c>
      <c r="M106" t="s">
        <v>81</v>
      </c>
      <c r="N106" t="s">
        <v>78</v>
      </c>
      <c r="O106" s="8">
        <v>1</v>
      </c>
      <c r="P106" s="8">
        <v>0</v>
      </c>
      <c r="Q106" s="2" t="s">
        <v>451</v>
      </c>
      <c r="R106" s="2"/>
      <c r="S106" s="8"/>
      <c r="T106">
        <v>500</v>
      </c>
      <c r="U106">
        <v>450</v>
      </c>
      <c r="W106" t="s">
        <v>81</v>
      </c>
      <c r="AC106" t="s">
        <v>82</v>
      </c>
      <c r="BN106">
        <f t="shared" si="1"/>
        <v>49</v>
      </c>
    </row>
    <row r="107" spans="1:66" ht="16" x14ac:dyDescent="0.2">
      <c r="A107" t="s">
        <v>81</v>
      </c>
      <c r="G107" t="s">
        <v>106</v>
      </c>
      <c r="I107" t="s">
        <v>78</v>
      </c>
      <c r="J107">
        <v>8</v>
      </c>
      <c r="K107">
        <v>0</v>
      </c>
      <c r="L107">
        <v>8</v>
      </c>
      <c r="M107" t="s">
        <v>81</v>
      </c>
      <c r="N107" t="s">
        <v>78</v>
      </c>
      <c r="O107" s="8">
        <v>1</v>
      </c>
      <c r="P107" s="8">
        <v>0</v>
      </c>
      <c r="Q107" s="2"/>
      <c r="R107" s="2" t="s">
        <v>80</v>
      </c>
      <c r="S107" s="8"/>
      <c r="T107">
        <v>20000</v>
      </c>
      <c r="U107">
        <v>10000</v>
      </c>
      <c r="V107" t="s">
        <v>81</v>
      </c>
      <c r="X107" t="s">
        <v>81</v>
      </c>
      <c r="AA107" t="s">
        <v>81</v>
      </c>
      <c r="AB107">
        <v>15000</v>
      </c>
      <c r="AC107" t="s">
        <v>142</v>
      </c>
      <c r="AE107" t="s">
        <v>83</v>
      </c>
      <c r="AF107">
        <v>1</v>
      </c>
      <c r="AG107">
        <v>0</v>
      </c>
      <c r="AH107">
        <v>0</v>
      </c>
      <c r="AI107">
        <v>0</v>
      </c>
      <c r="AV107" t="s">
        <v>94</v>
      </c>
      <c r="AW107">
        <v>0</v>
      </c>
      <c r="AX107">
        <v>0</v>
      </c>
      <c r="AY107">
        <v>0</v>
      </c>
      <c r="AZ107">
        <v>1</v>
      </c>
      <c r="BD107" t="s">
        <v>81</v>
      </c>
      <c r="BF107" t="s">
        <v>78</v>
      </c>
      <c r="BN107">
        <f t="shared" si="1"/>
        <v>34</v>
      </c>
    </row>
    <row r="108" spans="1:66" ht="16" x14ac:dyDescent="0.2">
      <c r="A108" t="s">
        <v>78</v>
      </c>
      <c r="G108" t="s">
        <v>102</v>
      </c>
      <c r="I108" t="s">
        <v>81</v>
      </c>
      <c r="J108">
        <v>5</v>
      </c>
      <c r="K108">
        <v>0</v>
      </c>
      <c r="L108">
        <v>2</v>
      </c>
      <c r="M108" t="s">
        <v>98</v>
      </c>
      <c r="N108" t="s">
        <v>78</v>
      </c>
      <c r="O108" s="8">
        <v>1</v>
      </c>
      <c r="P108" s="8">
        <v>0</v>
      </c>
      <c r="Q108" s="2" t="s">
        <v>456</v>
      </c>
      <c r="R108" s="2" t="s">
        <v>80</v>
      </c>
      <c r="S108" s="8"/>
      <c r="T108">
        <v>2000</v>
      </c>
      <c r="U108">
        <v>2500</v>
      </c>
      <c r="W108" t="s">
        <v>81</v>
      </c>
      <c r="BN108">
        <f t="shared" si="1"/>
        <v>49</v>
      </c>
    </row>
    <row r="109" spans="1:66" x14ac:dyDescent="0.2">
      <c r="A109" t="s">
        <v>78</v>
      </c>
      <c r="G109" t="s">
        <v>102</v>
      </c>
      <c r="I109" t="s">
        <v>78</v>
      </c>
      <c r="J109">
        <v>2</v>
      </c>
      <c r="L109">
        <v>2</v>
      </c>
      <c r="M109" t="s">
        <v>81</v>
      </c>
      <c r="N109" t="s">
        <v>78</v>
      </c>
      <c r="O109" s="8">
        <v>1</v>
      </c>
      <c r="P109" s="8">
        <v>0</v>
      </c>
      <c r="Q109" s="2"/>
      <c r="R109" s="2"/>
      <c r="S109" s="8"/>
      <c r="T109">
        <v>900</v>
      </c>
      <c r="U109">
        <v>900</v>
      </c>
      <c r="W109" t="s">
        <v>81</v>
      </c>
      <c r="BN109">
        <f t="shared" si="1"/>
        <v>52</v>
      </c>
    </row>
    <row r="110" spans="1:66" ht="16" x14ac:dyDescent="0.2">
      <c r="A110" t="s">
        <v>78</v>
      </c>
      <c r="B110" t="s">
        <v>461</v>
      </c>
      <c r="C110">
        <v>29.375633000000001</v>
      </c>
      <c r="D110">
        <v>79.464320999999998</v>
      </c>
      <c r="E110">
        <v>1874.6169162172009</v>
      </c>
      <c r="F110">
        <v>31.440000534057621</v>
      </c>
      <c r="G110" t="s">
        <v>97</v>
      </c>
      <c r="I110" t="s">
        <v>78</v>
      </c>
      <c r="J110">
        <v>2</v>
      </c>
      <c r="K110">
        <v>2</v>
      </c>
      <c r="L110">
        <v>2</v>
      </c>
      <c r="M110" t="s">
        <v>81</v>
      </c>
      <c r="N110" t="s">
        <v>78</v>
      </c>
      <c r="O110" s="8">
        <v>1</v>
      </c>
      <c r="P110" s="8">
        <v>0</v>
      </c>
      <c r="Q110" s="2" t="s">
        <v>462</v>
      </c>
      <c r="R110" s="2" t="s">
        <v>80</v>
      </c>
      <c r="S110" s="8"/>
      <c r="T110">
        <v>700</v>
      </c>
      <c r="U110">
        <v>400</v>
      </c>
      <c r="W110" t="s">
        <v>81</v>
      </c>
      <c r="X110" t="s">
        <v>81</v>
      </c>
      <c r="AB110">
        <v>50</v>
      </c>
      <c r="AC110" t="s">
        <v>92</v>
      </c>
      <c r="AE110" t="s">
        <v>463</v>
      </c>
      <c r="AF110">
        <v>0</v>
      </c>
      <c r="AG110">
        <v>1</v>
      </c>
      <c r="AH110">
        <v>0</v>
      </c>
      <c r="AI110">
        <v>0</v>
      </c>
      <c r="AJ110">
        <v>0</v>
      </c>
      <c r="AK110">
        <v>0</v>
      </c>
      <c r="BN110">
        <f t="shared" si="1"/>
        <v>34</v>
      </c>
    </row>
    <row r="111" spans="1:66" ht="16" x14ac:dyDescent="0.2">
      <c r="A111" t="s">
        <v>78</v>
      </c>
      <c r="B111" t="s">
        <v>466</v>
      </c>
      <c r="C111">
        <v>29.378140999999999</v>
      </c>
      <c r="D111">
        <v>79.464651000000003</v>
      </c>
      <c r="E111">
        <v>1929.5186724739169</v>
      </c>
      <c r="F111">
        <v>22.103599945215489</v>
      </c>
      <c r="G111" t="s">
        <v>97</v>
      </c>
      <c r="I111" t="s">
        <v>78</v>
      </c>
      <c r="J111">
        <v>1</v>
      </c>
      <c r="K111">
        <v>0</v>
      </c>
      <c r="L111">
        <v>1</v>
      </c>
      <c r="M111" t="s">
        <v>81</v>
      </c>
      <c r="N111" t="s">
        <v>78</v>
      </c>
      <c r="O111" s="8">
        <v>1</v>
      </c>
      <c r="P111" s="8">
        <v>0</v>
      </c>
      <c r="Q111" s="2"/>
      <c r="R111" s="2" t="s">
        <v>80</v>
      </c>
      <c r="S111" s="8"/>
      <c r="T111">
        <v>2500</v>
      </c>
      <c r="U111">
        <v>2500</v>
      </c>
      <c r="W111" t="s">
        <v>81</v>
      </c>
      <c r="X111" t="s">
        <v>81</v>
      </c>
      <c r="AB111">
        <v>500</v>
      </c>
      <c r="AC111" t="s">
        <v>92</v>
      </c>
      <c r="AE111" t="s">
        <v>83</v>
      </c>
      <c r="AF111">
        <v>1</v>
      </c>
      <c r="AG111">
        <v>0</v>
      </c>
      <c r="AH111">
        <v>0</v>
      </c>
      <c r="AI111">
        <v>0</v>
      </c>
      <c r="AJ111">
        <v>200</v>
      </c>
      <c r="AK111">
        <v>1000</v>
      </c>
      <c r="BN111">
        <f t="shared" si="1"/>
        <v>35</v>
      </c>
    </row>
    <row r="112" spans="1:66" ht="16" x14ac:dyDescent="0.2">
      <c r="A112" t="s">
        <v>78</v>
      </c>
      <c r="B112" t="s">
        <v>469</v>
      </c>
      <c r="C112">
        <v>29.391736000000002</v>
      </c>
      <c r="D112">
        <v>79.455787000000001</v>
      </c>
      <c r="E112">
        <v>1908.900024414062</v>
      </c>
      <c r="F112">
        <v>18.596000671386719</v>
      </c>
      <c r="G112" t="s">
        <v>102</v>
      </c>
      <c r="I112" t="s">
        <v>78</v>
      </c>
      <c r="J112">
        <v>2</v>
      </c>
      <c r="K112">
        <v>0</v>
      </c>
      <c r="L112">
        <v>2</v>
      </c>
      <c r="M112" t="s">
        <v>81</v>
      </c>
      <c r="N112" t="s">
        <v>78</v>
      </c>
      <c r="O112" s="8">
        <v>1</v>
      </c>
      <c r="P112" s="8">
        <v>0</v>
      </c>
      <c r="Q112" s="2" t="s">
        <v>190</v>
      </c>
      <c r="R112" s="2" t="s">
        <v>80</v>
      </c>
      <c r="S112" s="8"/>
      <c r="T112">
        <v>25000</v>
      </c>
      <c r="U112">
        <v>25000</v>
      </c>
      <c r="W112" t="s">
        <v>81</v>
      </c>
      <c r="AC112" t="s">
        <v>82</v>
      </c>
      <c r="BN112">
        <f t="shared" si="1"/>
        <v>43</v>
      </c>
    </row>
    <row r="113" spans="1:66" x14ac:dyDescent="0.2">
      <c r="A113" t="s">
        <v>78</v>
      </c>
      <c r="G113" t="s">
        <v>102</v>
      </c>
      <c r="I113" t="s">
        <v>78</v>
      </c>
      <c r="M113" t="s">
        <v>81</v>
      </c>
      <c r="N113" t="s">
        <v>78</v>
      </c>
      <c r="O113" s="8">
        <v>1</v>
      </c>
      <c r="P113" s="8">
        <v>0</v>
      </c>
      <c r="Q113" s="2"/>
      <c r="R113" s="2"/>
      <c r="S113" s="8"/>
      <c r="T113">
        <v>500</v>
      </c>
      <c r="U113">
        <v>400</v>
      </c>
      <c r="W113" t="s">
        <v>81</v>
      </c>
      <c r="BN113">
        <f t="shared" si="1"/>
        <v>54</v>
      </c>
    </row>
    <row r="114" spans="1:66" x14ac:dyDescent="0.2">
      <c r="A114" t="s">
        <v>78</v>
      </c>
      <c r="G114" t="s">
        <v>102</v>
      </c>
      <c r="I114" t="s">
        <v>78</v>
      </c>
      <c r="J114">
        <v>2</v>
      </c>
      <c r="K114">
        <v>0</v>
      </c>
      <c r="L114">
        <v>3</v>
      </c>
      <c r="M114" t="s">
        <v>81</v>
      </c>
      <c r="N114" t="s">
        <v>78</v>
      </c>
      <c r="O114" s="8">
        <v>1</v>
      </c>
      <c r="P114" s="8">
        <v>0</v>
      </c>
      <c r="Q114" s="2"/>
      <c r="R114" s="2"/>
      <c r="S114" s="8"/>
      <c r="T114">
        <v>3500</v>
      </c>
      <c r="U114">
        <v>3000</v>
      </c>
      <c r="W114" t="s">
        <v>81</v>
      </c>
      <c r="BN114">
        <f t="shared" si="1"/>
        <v>51</v>
      </c>
    </row>
    <row r="115" spans="1:66" ht="16" x14ac:dyDescent="0.2">
      <c r="A115" t="s">
        <v>78</v>
      </c>
      <c r="B115" t="s">
        <v>480</v>
      </c>
      <c r="C115">
        <v>29.378187</v>
      </c>
      <c r="D115">
        <v>79.464168999999998</v>
      </c>
      <c r="E115">
        <v>1900.300048828125</v>
      </c>
      <c r="F115">
        <v>10.592000007629389</v>
      </c>
      <c r="G115" t="s">
        <v>89</v>
      </c>
      <c r="H115" t="s">
        <v>481</v>
      </c>
      <c r="I115" t="s">
        <v>78</v>
      </c>
      <c r="J115">
        <v>2</v>
      </c>
      <c r="K115">
        <v>2</v>
      </c>
      <c r="L115">
        <v>2</v>
      </c>
      <c r="M115" t="s">
        <v>81</v>
      </c>
      <c r="N115" t="s">
        <v>78</v>
      </c>
      <c r="O115" s="8">
        <v>1</v>
      </c>
      <c r="P115" s="8">
        <v>0</v>
      </c>
      <c r="Q115" s="2" t="s">
        <v>304</v>
      </c>
      <c r="R115" s="2" t="s">
        <v>80</v>
      </c>
      <c r="S115" s="8"/>
      <c r="T115">
        <v>750</v>
      </c>
      <c r="U115">
        <v>550</v>
      </c>
      <c r="W115" t="s">
        <v>81</v>
      </c>
      <c r="AC115" t="s">
        <v>142</v>
      </c>
      <c r="BN115">
        <f t="shared" si="1"/>
        <v>42</v>
      </c>
    </row>
    <row r="116" spans="1:66" ht="16" x14ac:dyDescent="0.2">
      <c r="A116" t="s">
        <v>78</v>
      </c>
      <c r="B116" t="s">
        <v>484</v>
      </c>
      <c r="C116">
        <v>29.392510999999999</v>
      </c>
      <c r="D116">
        <v>79.455614999999995</v>
      </c>
      <c r="E116">
        <v>1923.900024414062</v>
      </c>
      <c r="F116">
        <v>23.482999801635739</v>
      </c>
      <c r="G116" t="s">
        <v>106</v>
      </c>
      <c r="I116" t="s">
        <v>78</v>
      </c>
      <c r="J116">
        <v>8</v>
      </c>
      <c r="K116">
        <v>10</v>
      </c>
      <c r="L116">
        <v>8</v>
      </c>
      <c r="M116" t="s">
        <v>81</v>
      </c>
      <c r="N116" t="s">
        <v>78</v>
      </c>
      <c r="O116" s="8">
        <v>1</v>
      </c>
      <c r="P116" s="8">
        <v>0</v>
      </c>
      <c r="Q116" s="2" t="s">
        <v>485</v>
      </c>
      <c r="R116" s="2" t="s">
        <v>80</v>
      </c>
      <c r="S116" s="8"/>
      <c r="T116">
        <v>20000</v>
      </c>
      <c r="U116">
        <v>15000</v>
      </c>
      <c r="W116" t="s">
        <v>81</v>
      </c>
      <c r="X116" t="s">
        <v>78</v>
      </c>
      <c r="Y116">
        <v>18</v>
      </c>
      <c r="Z116">
        <v>36</v>
      </c>
      <c r="AA116" t="s">
        <v>81</v>
      </c>
      <c r="AB116">
        <v>1000</v>
      </c>
      <c r="AC116" t="s">
        <v>92</v>
      </c>
      <c r="AE116" t="s">
        <v>83</v>
      </c>
      <c r="AF116">
        <v>1</v>
      </c>
      <c r="AG116">
        <v>0</v>
      </c>
      <c r="AH116">
        <v>0</v>
      </c>
      <c r="AI116">
        <v>0</v>
      </c>
      <c r="AJ116">
        <v>100000</v>
      </c>
      <c r="AK116">
        <v>0</v>
      </c>
      <c r="BN116">
        <f t="shared" si="1"/>
        <v>31</v>
      </c>
    </row>
    <row r="117" spans="1:66" ht="16" x14ac:dyDescent="0.2">
      <c r="A117" t="s">
        <v>78</v>
      </c>
      <c r="B117" t="s">
        <v>488</v>
      </c>
      <c r="C117">
        <v>29.378039999999999</v>
      </c>
      <c r="D117">
        <v>79.464099000000004</v>
      </c>
      <c r="E117">
        <v>1900.699951171875</v>
      </c>
      <c r="F117">
        <v>24.097000122070309</v>
      </c>
      <c r="G117" t="s">
        <v>89</v>
      </c>
      <c r="H117" t="s">
        <v>489</v>
      </c>
      <c r="I117" t="s">
        <v>78</v>
      </c>
      <c r="J117">
        <v>1</v>
      </c>
      <c r="K117">
        <v>1</v>
      </c>
      <c r="L117">
        <v>1</v>
      </c>
      <c r="M117" t="s">
        <v>81</v>
      </c>
      <c r="N117" t="s">
        <v>78</v>
      </c>
      <c r="O117" s="8">
        <v>1</v>
      </c>
      <c r="P117" s="8">
        <v>0</v>
      </c>
      <c r="Q117" s="2"/>
      <c r="R117" s="2" t="s">
        <v>80</v>
      </c>
      <c r="S117" s="8"/>
      <c r="T117">
        <v>300</v>
      </c>
      <c r="U117">
        <v>300</v>
      </c>
      <c r="W117" t="s">
        <v>81</v>
      </c>
      <c r="AC117" t="s">
        <v>92</v>
      </c>
      <c r="BN117">
        <f t="shared" si="1"/>
        <v>43</v>
      </c>
    </row>
    <row r="118" spans="1:66" ht="16" x14ac:dyDescent="0.2">
      <c r="A118" t="s">
        <v>78</v>
      </c>
      <c r="G118" t="s">
        <v>106</v>
      </c>
      <c r="I118" t="s">
        <v>78</v>
      </c>
      <c r="J118">
        <v>8</v>
      </c>
      <c r="K118">
        <v>0</v>
      </c>
      <c r="L118">
        <v>0</v>
      </c>
      <c r="M118" t="s">
        <v>98</v>
      </c>
      <c r="N118" t="s">
        <v>78</v>
      </c>
      <c r="O118" s="8">
        <v>1</v>
      </c>
      <c r="P118" s="8">
        <v>0</v>
      </c>
      <c r="Q118" s="2" t="s">
        <v>492</v>
      </c>
      <c r="R118" s="2" t="s">
        <v>80</v>
      </c>
      <c r="S118" s="8"/>
      <c r="T118">
        <v>22500</v>
      </c>
      <c r="U118">
        <v>12500</v>
      </c>
      <c r="V118" t="s">
        <v>81</v>
      </c>
      <c r="X118" t="s">
        <v>78</v>
      </c>
      <c r="AA118" t="s">
        <v>78</v>
      </c>
      <c r="AB118">
        <v>10000</v>
      </c>
      <c r="AC118" t="s">
        <v>82</v>
      </c>
      <c r="AE118" t="s">
        <v>83</v>
      </c>
      <c r="AF118">
        <v>1</v>
      </c>
      <c r="AG118">
        <v>0</v>
      </c>
      <c r="AH118">
        <v>0</v>
      </c>
      <c r="AI118">
        <v>0</v>
      </c>
      <c r="AR118" t="s">
        <v>493</v>
      </c>
      <c r="AV118" t="s">
        <v>116</v>
      </c>
      <c r="AW118">
        <v>0</v>
      </c>
      <c r="AX118">
        <v>0</v>
      </c>
      <c r="AY118">
        <v>1</v>
      </c>
      <c r="AZ118">
        <v>0</v>
      </c>
      <c r="BD118" t="s">
        <v>81</v>
      </c>
      <c r="BF118" t="s">
        <v>78</v>
      </c>
      <c r="BN118">
        <f t="shared" si="1"/>
        <v>32</v>
      </c>
    </row>
    <row r="119" spans="1:66" ht="16" x14ac:dyDescent="0.2">
      <c r="A119" t="s">
        <v>78</v>
      </c>
      <c r="B119" t="s">
        <v>496</v>
      </c>
      <c r="C119">
        <v>29.392520000000001</v>
      </c>
      <c r="D119">
        <v>79.455520000000007</v>
      </c>
      <c r="E119">
        <v>1924</v>
      </c>
      <c r="F119">
        <v>100</v>
      </c>
      <c r="G119" t="s">
        <v>106</v>
      </c>
      <c r="I119" t="s">
        <v>81</v>
      </c>
      <c r="J119">
        <v>4</v>
      </c>
      <c r="K119">
        <v>4</v>
      </c>
      <c r="L119">
        <v>3</v>
      </c>
      <c r="M119" t="s">
        <v>81</v>
      </c>
      <c r="N119" t="s">
        <v>78</v>
      </c>
      <c r="O119" s="8">
        <v>1</v>
      </c>
      <c r="P119" s="8">
        <v>0</v>
      </c>
      <c r="Q119" s="2" t="s">
        <v>190</v>
      </c>
      <c r="R119" s="2" t="s">
        <v>80</v>
      </c>
      <c r="S119" s="8"/>
      <c r="T119">
        <v>15000</v>
      </c>
      <c r="U119">
        <v>12000</v>
      </c>
      <c r="W119" t="s">
        <v>81</v>
      </c>
      <c r="X119" t="s">
        <v>81</v>
      </c>
      <c r="Y119">
        <v>16</v>
      </c>
      <c r="Z119">
        <v>35</v>
      </c>
      <c r="AA119" t="s">
        <v>81</v>
      </c>
      <c r="AB119">
        <v>8000</v>
      </c>
      <c r="AC119" t="s">
        <v>142</v>
      </c>
      <c r="AD119" t="s">
        <v>497</v>
      </c>
      <c r="AE119" t="s">
        <v>83</v>
      </c>
      <c r="AF119">
        <v>1</v>
      </c>
      <c r="AG119">
        <v>0</v>
      </c>
      <c r="AH119">
        <v>0</v>
      </c>
      <c r="AI119">
        <v>0</v>
      </c>
      <c r="AJ119">
        <v>55000</v>
      </c>
      <c r="AK119">
        <v>0</v>
      </c>
      <c r="BN119">
        <f t="shared" si="1"/>
        <v>30</v>
      </c>
    </row>
    <row r="120" spans="1:66" ht="16" x14ac:dyDescent="0.2">
      <c r="A120" t="s">
        <v>78</v>
      </c>
      <c r="B120" t="s">
        <v>500</v>
      </c>
      <c r="C120">
        <v>29.378336000000001</v>
      </c>
      <c r="D120">
        <v>79.464140999999998</v>
      </c>
      <c r="E120">
        <v>1901.5</v>
      </c>
      <c r="F120">
        <v>11.496999740600589</v>
      </c>
      <c r="G120" t="s">
        <v>89</v>
      </c>
      <c r="I120" t="s">
        <v>78</v>
      </c>
      <c r="J120">
        <v>1</v>
      </c>
      <c r="K120">
        <v>1</v>
      </c>
      <c r="L120">
        <v>1</v>
      </c>
      <c r="M120" t="s">
        <v>81</v>
      </c>
      <c r="N120" t="s">
        <v>78</v>
      </c>
      <c r="O120" s="8">
        <v>1</v>
      </c>
      <c r="P120" s="8">
        <v>0</v>
      </c>
      <c r="Q120" s="2"/>
      <c r="R120" s="2" t="s">
        <v>80</v>
      </c>
      <c r="S120" s="8"/>
      <c r="T120">
        <v>0</v>
      </c>
      <c r="U120">
        <v>0</v>
      </c>
      <c r="W120" t="s">
        <v>81</v>
      </c>
      <c r="AC120" t="s">
        <v>92</v>
      </c>
      <c r="BN120">
        <f t="shared" si="1"/>
        <v>44</v>
      </c>
    </row>
    <row r="121" spans="1:66" ht="16" x14ac:dyDescent="0.2">
      <c r="A121" t="s">
        <v>78</v>
      </c>
      <c r="B121" t="s">
        <v>503</v>
      </c>
      <c r="C121">
        <v>29.378557000000001</v>
      </c>
      <c r="D121">
        <v>79.464023999999995</v>
      </c>
      <c r="E121">
        <v>1902.099975585938</v>
      </c>
      <c r="F121">
        <v>12.717000007629389</v>
      </c>
      <c r="I121" t="s">
        <v>78</v>
      </c>
      <c r="J121">
        <v>2</v>
      </c>
      <c r="K121">
        <v>2</v>
      </c>
      <c r="L121">
        <v>2</v>
      </c>
      <c r="M121" t="s">
        <v>81</v>
      </c>
      <c r="N121" t="s">
        <v>78</v>
      </c>
      <c r="O121" s="8">
        <v>1</v>
      </c>
      <c r="P121" s="8">
        <v>0</v>
      </c>
      <c r="Q121" s="2"/>
      <c r="R121" s="2" t="s">
        <v>80</v>
      </c>
      <c r="S121" s="8"/>
      <c r="W121" t="s">
        <v>81</v>
      </c>
      <c r="AC121" t="s">
        <v>92</v>
      </c>
      <c r="BN121">
        <f t="shared" si="1"/>
        <v>47</v>
      </c>
    </row>
    <row r="122" spans="1:66" ht="16" x14ac:dyDescent="0.2">
      <c r="A122" t="s">
        <v>78</v>
      </c>
      <c r="B122" t="s">
        <v>506</v>
      </c>
      <c r="C122">
        <v>29.378639</v>
      </c>
      <c r="D122">
        <v>79.464008000000007</v>
      </c>
      <c r="E122">
        <v>1903.8300739078941</v>
      </c>
      <c r="F122">
        <v>15.75100040435791</v>
      </c>
      <c r="G122" t="s">
        <v>102</v>
      </c>
      <c r="I122" t="s">
        <v>78</v>
      </c>
      <c r="J122">
        <v>1</v>
      </c>
      <c r="K122">
        <v>1</v>
      </c>
      <c r="L122">
        <v>1</v>
      </c>
      <c r="M122" t="s">
        <v>81</v>
      </c>
      <c r="N122" t="s">
        <v>78</v>
      </c>
      <c r="O122" s="8">
        <v>1</v>
      </c>
      <c r="P122" s="8">
        <v>0</v>
      </c>
      <c r="Q122" s="2"/>
      <c r="R122" s="2" t="s">
        <v>80</v>
      </c>
      <c r="S122" s="8"/>
      <c r="T122">
        <v>500</v>
      </c>
      <c r="U122">
        <v>500</v>
      </c>
      <c r="W122" t="s">
        <v>81</v>
      </c>
      <c r="AC122" t="s">
        <v>92</v>
      </c>
      <c r="BN122">
        <f t="shared" si="1"/>
        <v>44</v>
      </c>
    </row>
    <row r="123" spans="1:66" ht="16" x14ac:dyDescent="0.2">
      <c r="A123" t="s">
        <v>78</v>
      </c>
      <c r="B123" t="s">
        <v>509</v>
      </c>
      <c r="C123">
        <v>29.378579999999999</v>
      </c>
      <c r="D123">
        <v>79.464010000000002</v>
      </c>
      <c r="E123">
        <v>1902.099975585938</v>
      </c>
      <c r="F123">
        <v>11.52999973297119</v>
      </c>
      <c r="G123" t="s">
        <v>102</v>
      </c>
      <c r="I123" t="s">
        <v>78</v>
      </c>
      <c r="J123">
        <v>4</v>
      </c>
      <c r="L123">
        <v>4</v>
      </c>
      <c r="M123" t="s">
        <v>81</v>
      </c>
      <c r="N123" t="s">
        <v>78</v>
      </c>
      <c r="O123" s="8">
        <v>1</v>
      </c>
      <c r="P123" s="8">
        <v>0</v>
      </c>
      <c r="Q123" s="2"/>
      <c r="R123" s="2" t="s">
        <v>80</v>
      </c>
      <c r="S123" s="8"/>
      <c r="T123">
        <v>1200</v>
      </c>
      <c r="U123">
        <v>3000</v>
      </c>
      <c r="W123" t="s">
        <v>81</v>
      </c>
      <c r="AC123" t="s">
        <v>82</v>
      </c>
      <c r="BN123">
        <f t="shared" si="1"/>
        <v>45</v>
      </c>
    </row>
    <row r="124" spans="1:66" ht="16" x14ac:dyDescent="0.2">
      <c r="A124" t="s">
        <v>78</v>
      </c>
      <c r="B124" t="s">
        <v>512</v>
      </c>
      <c r="C124">
        <v>29.392536</v>
      </c>
      <c r="D124">
        <v>79.455375000000004</v>
      </c>
      <c r="E124">
        <v>1924.099975585938</v>
      </c>
      <c r="F124">
        <v>15.0620002746582</v>
      </c>
      <c r="G124" t="s">
        <v>106</v>
      </c>
      <c r="I124" t="s">
        <v>78</v>
      </c>
      <c r="J124">
        <v>7</v>
      </c>
      <c r="K124">
        <v>7</v>
      </c>
      <c r="L124">
        <v>1</v>
      </c>
      <c r="M124" t="s">
        <v>81</v>
      </c>
      <c r="N124" t="s">
        <v>78</v>
      </c>
      <c r="O124" s="8">
        <v>1</v>
      </c>
      <c r="P124" s="8">
        <v>0</v>
      </c>
      <c r="Q124" s="2" t="s">
        <v>513</v>
      </c>
      <c r="R124" s="2" t="s">
        <v>80</v>
      </c>
      <c r="S124" s="8"/>
      <c r="T124">
        <v>25000</v>
      </c>
      <c r="U124">
        <v>15000</v>
      </c>
      <c r="W124" t="s">
        <v>81</v>
      </c>
      <c r="X124" t="s">
        <v>78</v>
      </c>
      <c r="Y124">
        <v>35</v>
      </c>
      <c r="Z124">
        <v>50</v>
      </c>
      <c r="AA124" t="s">
        <v>81</v>
      </c>
      <c r="AB124">
        <v>5000</v>
      </c>
      <c r="AC124" t="s">
        <v>82</v>
      </c>
      <c r="AE124" t="s">
        <v>83</v>
      </c>
      <c r="AF124">
        <v>1</v>
      </c>
      <c r="AG124">
        <v>0</v>
      </c>
      <c r="AH124">
        <v>0</v>
      </c>
      <c r="AI124">
        <v>0</v>
      </c>
      <c r="AJ124">
        <v>500000</v>
      </c>
      <c r="AK124">
        <v>120000</v>
      </c>
      <c r="BN124">
        <f t="shared" si="1"/>
        <v>31</v>
      </c>
    </row>
    <row r="125" spans="1:66" ht="16" x14ac:dyDescent="0.2">
      <c r="A125" t="s">
        <v>78</v>
      </c>
      <c r="B125" t="s">
        <v>516</v>
      </c>
      <c r="C125">
        <v>29.378712</v>
      </c>
      <c r="D125">
        <v>79.463938999999996</v>
      </c>
      <c r="E125">
        <v>1902.099975585938</v>
      </c>
      <c r="F125">
        <v>14.798000335693359</v>
      </c>
      <c r="I125" t="s">
        <v>78</v>
      </c>
      <c r="J125">
        <v>1</v>
      </c>
      <c r="K125">
        <v>1</v>
      </c>
      <c r="L125">
        <v>1</v>
      </c>
      <c r="N125" t="s">
        <v>81</v>
      </c>
      <c r="O125" s="6">
        <v>0</v>
      </c>
      <c r="P125" s="6">
        <v>1</v>
      </c>
      <c r="Q125" s="2"/>
      <c r="R125" s="2" t="s">
        <v>80</v>
      </c>
      <c r="S125" s="8"/>
      <c r="T125">
        <v>800</v>
      </c>
      <c r="U125">
        <v>1000</v>
      </c>
      <c r="W125" t="s">
        <v>81</v>
      </c>
      <c r="AC125" t="s">
        <v>82</v>
      </c>
      <c r="BN125">
        <f t="shared" si="1"/>
        <v>46</v>
      </c>
    </row>
    <row r="126" spans="1:66" ht="16" x14ac:dyDescent="0.2">
      <c r="A126" t="s">
        <v>78</v>
      </c>
      <c r="B126" t="s">
        <v>519</v>
      </c>
      <c r="C126">
        <v>29.392610000000001</v>
      </c>
      <c r="D126">
        <v>79.455858000000006</v>
      </c>
      <c r="E126">
        <v>1928.400024414062</v>
      </c>
      <c r="F126">
        <v>22.5</v>
      </c>
      <c r="G126" t="s">
        <v>106</v>
      </c>
      <c r="I126" t="s">
        <v>81</v>
      </c>
      <c r="J126">
        <v>3</v>
      </c>
      <c r="K126">
        <v>0</v>
      </c>
      <c r="L126">
        <v>0</v>
      </c>
      <c r="M126" t="s">
        <v>81</v>
      </c>
      <c r="N126" t="s">
        <v>78</v>
      </c>
      <c r="O126" s="8">
        <v>1</v>
      </c>
      <c r="P126" s="8">
        <v>0</v>
      </c>
      <c r="Q126" s="2" t="s">
        <v>520</v>
      </c>
      <c r="R126" s="2" t="s">
        <v>80</v>
      </c>
      <c r="S126" s="8"/>
      <c r="T126">
        <v>15000</v>
      </c>
      <c r="U126">
        <v>13000</v>
      </c>
      <c r="W126" t="s">
        <v>81</v>
      </c>
      <c r="X126" t="s">
        <v>78</v>
      </c>
      <c r="Y126">
        <v>11</v>
      </c>
      <c r="Z126">
        <v>25</v>
      </c>
      <c r="AA126" t="s">
        <v>81</v>
      </c>
      <c r="AB126">
        <v>8000</v>
      </c>
      <c r="AC126" t="s">
        <v>114</v>
      </c>
      <c r="AD126" t="s">
        <v>521</v>
      </c>
      <c r="AE126" t="s">
        <v>83</v>
      </c>
      <c r="AF126">
        <v>1</v>
      </c>
      <c r="AG126">
        <v>0</v>
      </c>
      <c r="AH126">
        <v>0</v>
      </c>
      <c r="AI126">
        <v>0</v>
      </c>
      <c r="AJ126">
        <v>120000</v>
      </c>
      <c r="AK126">
        <v>80000</v>
      </c>
      <c r="BN126">
        <f t="shared" si="1"/>
        <v>30</v>
      </c>
    </row>
    <row r="127" spans="1:66" ht="16" x14ac:dyDescent="0.2">
      <c r="A127" t="s">
        <v>78</v>
      </c>
      <c r="B127" t="s">
        <v>524</v>
      </c>
      <c r="C127">
        <v>29.392590999999999</v>
      </c>
      <c r="D127">
        <v>79.452861999999996</v>
      </c>
      <c r="E127">
        <v>1928.900024414062</v>
      </c>
      <c r="F127">
        <v>5.8000001907348633</v>
      </c>
      <c r="G127" t="s">
        <v>102</v>
      </c>
      <c r="I127" t="s">
        <v>78</v>
      </c>
      <c r="J127">
        <v>0</v>
      </c>
      <c r="K127">
        <v>0</v>
      </c>
      <c r="L127">
        <v>0</v>
      </c>
      <c r="M127" t="s">
        <v>81</v>
      </c>
      <c r="N127" t="s">
        <v>78</v>
      </c>
      <c r="O127" s="8">
        <v>1</v>
      </c>
      <c r="P127" s="8">
        <v>0</v>
      </c>
      <c r="Q127" s="2" t="s">
        <v>130</v>
      </c>
      <c r="R127" s="2"/>
      <c r="S127" s="8"/>
      <c r="T127">
        <v>800</v>
      </c>
      <c r="U127">
        <v>500</v>
      </c>
      <c r="W127" t="s">
        <v>81</v>
      </c>
      <c r="AC127" t="s">
        <v>82</v>
      </c>
      <c r="BN127">
        <f t="shared" si="1"/>
        <v>44</v>
      </c>
    </row>
    <row r="128" spans="1:66" ht="16" x14ac:dyDescent="0.2">
      <c r="A128" t="s">
        <v>78</v>
      </c>
      <c r="B128" t="s">
        <v>527</v>
      </c>
      <c r="C128">
        <v>29.379010000000001</v>
      </c>
      <c r="D128">
        <v>79.463845000000006</v>
      </c>
      <c r="E128">
        <v>1902.5</v>
      </c>
      <c r="F128">
        <v>10.678000450134279</v>
      </c>
      <c r="I128" t="s">
        <v>78</v>
      </c>
      <c r="J128">
        <v>1</v>
      </c>
      <c r="K128">
        <v>1</v>
      </c>
      <c r="L128">
        <v>1</v>
      </c>
      <c r="M128" t="s">
        <v>81</v>
      </c>
      <c r="N128" t="s">
        <v>78</v>
      </c>
      <c r="O128" s="8">
        <v>1</v>
      </c>
      <c r="P128" s="8">
        <v>0</v>
      </c>
      <c r="Q128" s="2"/>
      <c r="R128" s="2" t="s">
        <v>80</v>
      </c>
      <c r="S128" s="8"/>
      <c r="T128">
        <v>700</v>
      </c>
      <c r="U128">
        <v>700</v>
      </c>
      <c r="W128" t="s">
        <v>81</v>
      </c>
      <c r="AC128" t="s">
        <v>92</v>
      </c>
      <c r="BN128">
        <f t="shared" ref="BN128:BN156" si="2">COUNTBLANK(A128:BL128)</f>
        <v>45</v>
      </c>
    </row>
    <row r="129" spans="1:66" ht="16" x14ac:dyDescent="0.2">
      <c r="A129" t="s">
        <v>78</v>
      </c>
      <c r="B129" t="s">
        <v>530</v>
      </c>
      <c r="C129">
        <v>29.379062999999999</v>
      </c>
      <c r="D129">
        <v>79.463856000000007</v>
      </c>
      <c r="E129">
        <v>1903</v>
      </c>
      <c r="F129">
        <v>13.76700019836426</v>
      </c>
      <c r="I129" t="s">
        <v>78</v>
      </c>
      <c r="J129">
        <v>2</v>
      </c>
      <c r="K129">
        <v>2</v>
      </c>
      <c r="L129">
        <v>2</v>
      </c>
      <c r="M129" t="s">
        <v>81</v>
      </c>
      <c r="N129" t="s">
        <v>78</v>
      </c>
      <c r="O129" s="8">
        <v>1</v>
      </c>
      <c r="P129" s="8">
        <v>0</v>
      </c>
      <c r="Q129" s="2"/>
      <c r="R129" s="2" t="s">
        <v>80</v>
      </c>
      <c r="S129" s="8"/>
      <c r="T129">
        <v>1400</v>
      </c>
      <c r="U129">
        <v>1400</v>
      </c>
      <c r="W129" t="s">
        <v>81</v>
      </c>
      <c r="AC129" t="s">
        <v>82</v>
      </c>
      <c r="BN129">
        <f t="shared" si="2"/>
        <v>45</v>
      </c>
    </row>
    <row r="130" spans="1:66" ht="16" x14ac:dyDescent="0.2">
      <c r="A130" t="s">
        <v>78</v>
      </c>
      <c r="B130" t="s">
        <v>533</v>
      </c>
      <c r="C130">
        <v>29.379062000000001</v>
      </c>
      <c r="D130">
        <v>79.463753999999994</v>
      </c>
      <c r="E130">
        <v>1902.800048828125</v>
      </c>
      <c r="F130">
        <v>15.05700016021729</v>
      </c>
      <c r="G130" t="s">
        <v>102</v>
      </c>
      <c r="I130" t="s">
        <v>78</v>
      </c>
      <c r="J130">
        <v>1</v>
      </c>
      <c r="K130">
        <v>1</v>
      </c>
      <c r="L130">
        <v>1</v>
      </c>
      <c r="M130" t="s">
        <v>81</v>
      </c>
      <c r="N130" t="s">
        <v>78</v>
      </c>
      <c r="O130" s="8">
        <v>1</v>
      </c>
      <c r="P130" s="8">
        <v>0</v>
      </c>
      <c r="Q130" s="2"/>
      <c r="R130" s="2" t="s">
        <v>80</v>
      </c>
      <c r="S130" s="8"/>
      <c r="T130">
        <v>500</v>
      </c>
      <c r="U130">
        <v>500</v>
      </c>
      <c r="W130" t="s">
        <v>81</v>
      </c>
      <c r="AC130" t="s">
        <v>82</v>
      </c>
      <c r="BN130">
        <f t="shared" si="2"/>
        <v>44</v>
      </c>
    </row>
    <row r="131" spans="1:66" ht="32" x14ac:dyDescent="0.2">
      <c r="A131" t="s">
        <v>78</v>
      </c>
      <c r="G131" t="s">
        <v>106</v>
      </c>
      <c r="I131" t="s">
        <v>78</v>
      </c>
      <c r="J131">
        <v>23</v>
      </c>
      <c r="K131">
        <v>15</v>
      </c>
      <c r="L131">
        <v>4</v>
      </c>
      <c r="M131" t="s">
        <v>98</v>
      </c>
      <c r="N131" t="s">
        <v>78</v>
      </c>
      <c r="O131" s="8">
        <v>1</v>
      </c>
      <c r="P131" s="8">
        <v>0</v>
      </c>
      <c r="Q131" s="2" t="s">
        <v>536</v>
      </c>
      <c r="R131" s="2" t="s">
        <v>80</v>
      </c>
      <c r="S131" s="8"/>
      <c r="V131" t="s">
        <v>81</v>
      </c>
      <c r="X131" t="s">
        <v>78</v>
      </c>
      <c r="AA131" t="s">
        <v>78</v>
      </c>
      <c r="AB131">
        <v>125000</v>
      </c>
      <c r="AE131" t="s">
        <v>83</v>
      </c>
      <c r="AF131">
        <v>1</v>
      </c>
      <c r="AG131">
        <v>0</v>
      </c>
      <c r="AH131">
        <v>0</v>
      </c>
      <c r="AI131">
        <v>0</v>
      </c>
      <c r="AR131" t="s">
        <v>187</v>
      </c>
      <c r="AV131" t="s">
        <v>84</v>
      </c>
      <c r="AW131">
        <v>1</v>
      </c>
      <c r="AX131">
        <v>0</v>
      </c>
      <c r="AY131">
        <v>1</v>
      </c>
      <c r="AZ131">
        <v>0</v>
      </c>
      <c r="BD131" t="s">
        <v>81</v>
      </c>
      <c r="BF131" t="s">
        <v>78</v>
      </c>
      <c r="BN131">
        <f t="shared" si="2"/>
        <v>35</v>
      </c>
    </row>
    <row r="132" spans="1:66" ht="16" x14ac:dyDescent="0.2">
      <c r="A132" t="s">
        <v>78</v>
      </c>
      <c r="B132" t="s">
        <v>539</v>
      </c>
      <c r="C132">
        <v>29.379193000000001</v>
      </c>
      <c r="D132">
        <v>79.463727000000006</v>
      </c>
      <c r="E132">
        <v>1906.4817373444459</v>
      </c>
      <c r="F132">
        <v>18.194000244140621</v>
      </c>
      <c r="I132" t="s">
        <v>78</v>
      </c>
      <c r="J132">
        <v>1</v>
      </c>
      <c r="K132">
        <v>1</v>
      </c>
      <c r="L132">
        <v>1</v>
      </c>
      <c r="N132" t="s">
        <v>78</v>
      </c>
      <c r="O132" s="8">
        <v>1</v>
      </c>
      <c r="P132" s="8">
        <v>0</v>
      </c>
      <c r="Q132" s="2"/>
      <c r="R132" s="2" t="s">
        <v>80</v>
      </c>
      <c r="S132" s="8"/>
      <c r="T132">
        <v>200</v>
      </c>
      <c r="U132">
        <v>200</v>
      </c>
      <c r="W132" t="s">
        <v>81</v>
      </c>
      <c r="AC132" t="s">
        <v>82</v>
      </c>
      <c r="BN132">
        <f t="shared" si="2"/>
        <v>46</v>
      </c>
    </row>
    <row r="133" spans="1:66" ht="16" x14ac:dyDescent="0.2">
      <c r="A133" t="s">
        <v>78</v>
      </c>
      <c r="B133" t="s">
        <v>542</v>
      </c>
      <c r="C133">
        <v>29.390364000000002</v>
      </c>
      <c r="D133">
        <v>79.455095</v>
      </c>
      <c r="E133">
        <v>1900.800048828125</v>
      </c>
      <c r="F133">
        <v>29.83499908447266</v>
      </c>
      <c r="G133" t="s">
        <v>102</v>
      </c>
      <c r="I133" t="s">
        <v>78</v>
      </c>
      <c r="J133">
        <v>1</v>
      </c>
      <c r="K133">
        <v>0</v>
      </c>
      <c r="L133">
        <v>1</v>
      </c>
      <c r="M133" t="s">
        <v>81</v>
      </c>
      <c r="N133" t="s">
        <v>81</v>
      </c>
      <c r="O133" s="6">
        <v>0</v>
      </c>
      <c r="P133" s="6">
        <v>1</v>
      </c>
      <c r="Q133" s="2" t="s">
        <v>190</v>
      </c>
      <c r="R133" s="2"/>
      <c r="S133" s="8"/>
      <c r="T133">
        <v>1000</v>
      </c>
      <c r="U133">
        <v>1000</v>
      </c>
      <c r="W133" t="s">
        <v>81</v>
      </c>
      <c r="BN133">
        <f t="shared" si="2"/>
        <v>45</v>
      </c>
    </row>
    <row r="134" spans="1:66" ht="16" x14ac:dyDescent="0.2">
      <c r="A134" t="s">
        <v>78</v>
      </c>
      <c r="G134" t="s">
        <v>106</v>
      </c>
      <c r="I134" t="s">
        <v>78</v>
      </c>
      <c r="J134">
        <v>10</v>
      </c>
      <c r="K134">
        <v>2</v>
      </c>
      <c r="L134">
        <v>6</v>
      </c>
      <c r="M134" t="s">
        <v>81</v>
      </c>
      <c r="N134" t="s">
        <v>78</v>
      </c>
      <c r="O134" s="8">
        <v>1</v>
      </c>
      <c r="P134" s="8">
        <v>0</v>
      </c>
      <c r="Q134" s="2" t="s">
        <v>545</v>
      </c>
      <c r="R134" s="2" t="s">
        <v>80</v>
      </c>
      <c r="S134" s="8"/>
      <c r="T134">
        <v>10000</v>
      </c>
      <c r="U134">
        <v>7000</v>
      </c>
      <c r="W134" t="s">
        <v>81</v>
      </c>
      <c r="X134" t="s">
        <v>81</v>
      </c>
      <c r="Y134">
        <v>20</v>
      </c>
      <c r="AA134" t="s">
        <v>81</v>
      </c>
      <c r="AB134">
        <v>10000</v>
      </c>
      <c r="AC134" t="s">
        <v>92</v>
      </c>
      <c r="AE134" t="s">
        <v>83</v>
      </c>
      <c r="AF134">
        <v>1</v>
      </c>
      <c r="AG134">
        <v>0</v>
      </c>
      <c r="AH134">
        <v>0</v>
      </c>
      <c r="AI134">
        <v>0</v>
      </c>
      <c r="AJ134">
        <v>5000</v>
      </c>
      <c r="AK134">
        <v>7600</v>
      </c>
      <c r="BN134">
        <f t="shared" si="2"/>
        <v>37</v>
      </c>
    </row>
    <row r="135" spans="1:66" ht="16" x14ac:dyDescent="0.2">
      <c r="A135" t="s">
        <v>78</v>
      </c>
      <c r="G135" t="s">
        <v>102</v>
      </c>
      <c r="I135" t="s">
        <v>78</v>
      </c>
      <c r="J135">
        <v>3</v>
      </c>
      <c r="K135">
        <v>0</v>
      </c>
      <c r="L135">
        <v>1</v>
      </c>
      <c r="M135" t="s">
        <v>98</v>
      </c>
      <c r="N135" t="s">
        <v>78</v>
      </c>
      <c r="O135" s="8">
        <v>1</v>
      </c>
      <c r="P135" s="8">
        <v>0</v>
      </c>
      <c r="Q135" s="2" t="s">
        <v>548</v>
      </c>
      <c r="R135" t="s">
        <v>93</v>
      </c>
      <c r="S135" s="8" t="s">
        <v>93</v>
      </c>
      <c r="T135">
        <v>3130</v>
      </c>
      <c r="W135" t="s">
        <v>81</v>
      </c>
      <c r="BN135">
        <f t="shared" si="2"/>
        <v>49</v>
      </c>
    </row>
    <row r="136" spans="1:66" ht="16" x14ac:dyDescent="0.2">
      <c r="A136" t="s">
        <v>78</v>
      </c>
      <c r="G136" t="s">
        <v>79</v>
      </c>
      <c r="I136" t="s">
        <v>78</v>
      </c>
      <c r="J136">
        <v>3</v>
      </c>
      <c r="K136">
        <v>0</v>
      </c>
      <c r="L136">
        <v>3</v>
      </c>
      <c r="M136" t="s">
        <v>98</v>
      </c>
      <c r="N136" t="s">
        <v>78</v>
      </c>
      <c r="O136" s="8">
        <v>1</v>
      </c>
      <c r="P136" s="8">
        <v>0</v>
      </c>
      <c r="Q136" s="2" t="s">
        <v>552</v>
      </c>
      <c r="R136" t="s">
        <v>553</v>
      </c>
      <c r="S136" s="8" t="s">
        <v>553</v>
      </c>
      <c r="T136">
        <v>3500</v>
      </c>
      <c r="BN136">
        <f t="shared" si="2"/>
        <v>50</v>
      </c>
    </row>
    <row r="137" spans="1:66" ht="32" x14ac:dyDescent="0.2">
      <c r="A137" t="s">
        <v>78</v>
      </c>
      <c r="B137" t="s">
        <v>556</v>
      </c>
      <c r="C137">
        <v>29.38869</v>
      </c>
      <c r="D137">
        <v>79.460329000000002</v>
      </c>
      <c r="E137">
        <v>1903.800048828125</v>
      </c>
      <c r="F137">
        <v>13.39999961853027</v>
      </c>
      <c r="G137" t="s">
        <v>97</v>
      </c>
      <c r="I137" t="s">
        <v>78</v>
      </c>
      <c r="J137">
        <v>5</v>
      </c>
      <c r="K137">
        <v>0</v>
      </c>
      <c r="L137">
        <v>0</v>
      </c>
      <c r="M137" t="s">
        <v>81</v>
      </c>
      <c r="N137" t="s">
        <v>78</v>
      </c>
      <c r="O137" s="8">
        <v>1</v>
      </c>
      <c r="P137" s="8">
        <v>0</v>
      </c>
      <c r="Q137" s="2" t="s">
        <v>557</v>
      </c>
      <c r="R137" t="s">
        <v>93</v>
      </c>
      <c r="S137" s="8" t="s">
        <v>93</v>
      </c>
      <c r="T137">
        <v>3000</v>
      </c>
      <c r="U137">
        <v>3000</v>
      </c>
      <c r="W137" t="s">
        <v>81</v>
      </c>
      <c r="X137" t="s">
        <v>81</v>
      </c>
      <c r="AB137">
        <v>0</v>
      </c>
      <c r="AC137" t="s">
        <v>82</v>
      </c>
      <c r="AD137" t="s">
        <v>558</v>
      </c>
      <c r="AE137" t="s">
        <v>134</v>
      </c>
      <c r="AF137">
        <v>0</v>
      </c>
      <c r="AG137">
        <v>0</v>
      </c>
      <c r="AH137">
        <v>0</v>
      </c>
      <c r="AI137">
        <v>1</v>
      </c>
      <c r="AJ137">
        <v>0</v>
      </c>
      <c r="AK137">
        <v>0</v>
      </c>
      <c r="BN137">
        <f t="shared" si="2"/>
        <v>32</v>
      </c>
    </row>
    <row r="138" spans="1:66" ht="16" x14ac:dyDescent="0.2">
      <c r="A138" t="s">
        <v>78</v>
      </c>
      <c r="B138" t="s">
        <v>561</v>
      </c>
      <c r="C138">
        <v>29.389240999999998</v>
      </c>
      <c r="D138">
        <v>79.459738999999999</v>
      </c>
      <c r="E138">
        <v>1911.199951171875</v>
      </c>
      <c r="F138">
        <v>21.944000244140621</v>
      </c>
      <c r="G138" t="s">
        <v>106</v>
      </c>
      <c r="I138" t="s">
        <v>81</v>
      </c>
      <c r="J138">
        <v>60</v>
      </c>
      <c r="K138">
        <v>0</v>
      </c>
      <c r="M138" t="s">
        <v>81</v>
      </c>
      <c r="N138" t="s">
        <v>78</v>
      </c>
      <c r="O138" s="8">
        <v>1</v>
      </c>
      <c r="P138" s="8">
        <v>0</v>
      </c>
      <c r="Q138" s="2" t="s">
        <v>562</v>
      </c>
      <c r="R138" s="2" t="s">
        <v>80</v>
      </c>
      <c r="S138" s="8"/>
      <c r="T138">
        <v>150000</v>
      </c>
      <c r="U138">
        <v>90000</v>
      </c>
      <c r="W138" t="s">
        <v>81</v>
      </c>
      <c r="X138" t="s">
        <v>81</v>
      </c>
      <c r="Y138">
        <v>52</v>
      </c>
      <c r="Z138">
        <v>120</v>
      </c>
      <c r="AA138" t="s">
        <v>81</v>
      </c>
      <c r="AB138">
        <v>40000</v>
      </c>
      <c r="AC138" t="s">
        <v>82</v>
      </c>
      <c r="AD138" t="s">
        <v>563</v>
      </c>
      <c r="AE138" t="s">
        <v>83</v>
      </c>
      <c r="AF138">
        <v>1</v>
      </c>
      <c r="AG138">
        <v>0</v>
      </c>
      <c r="AH138">
        <v>0</v>
      </c>
      <c r="AI138">
        <v>0</v>
      </c>
      <c r="BN138">
        <f t="shared" si="2"/>
        <v>33</v>
      </c>
    </row>
    <row r="139" spans="1:66" ht="32" x14ac:dyDescent="0.2">
      <c r="A139" t="s">
        <v>78</v>
      </c>
      <c r="B139" t="s">
        <v>566</v>
      </c>
      <c r="C139">
        <v>29.375928999999999</v>
      </c>
      <c r="D139">
        <v>79.464793</v>
      </c>
      <c r="E139">
        <v>1876.900024414062</v>
      </c>
      <c r="F139">
        <v>93.620002746582031</v>
      </c>
      <c r="G139" t="s">
        <v>97</v>
      </c>
      <c r="I139" t="s">
        <v>78</v>
      </c>
      <c r="J139">
        <v>1</v>
      </c>
      <c r="K139">
        <v>1</v>
      </c>
      <c r="L139">
        <v>1</v>
      </c>
      <c r="M139" t="s">
        <v>81</v>
      </c>
      <c r="N139" t="s">
        <v>78</v>
      </c>
      <c r="O139" s="8">
        <v>1</v>
      </c>
      <c r="P139" s="8">
        <v>0</v>
      </c>
      <c r="Q139" s="2" t="s">
        <v>567</v>
      </c>
      <c r="R139" t="s">
        <v>94</v>
      </c>
      <c r="S139" s="8" t="s">
        <v>94</v>
      </c>
      <c r="T139">
        <v>15000</v>
      </c>
      <c r="U139">
        <v>7000</v>
      </c>
      <c r="W139" t="s">
        <v>81</v>
      </c>
      <c r="X139" t="s">
        <v>81</v>
      </c>
      <c r="AB139">
        <v>10</v>
      </c>
      <c r="AC139" t="s">
        <v>82</v>
      </c>
      <c r="AD139" t="s">
        <v>568</v>
      </c>
      <c r="AE139" t="s">
        <v>134</v>
      </c>
      <c r="AF139">
        <v>0</v>
      </c>
      <c r="AG139">
        <v>0</v>
      </c>
      <c r="AH139">
        <v>0</v>
      </c>
      <c r="AI139">
        <v>1</v>
      </c>
      <c r="AJ139">
        <v>0</v>
      </c>
      <c r="AK139">
        <v>0</v>
      </c>
      <c r="BN139">
        <f t="shared" si="2"/>
        <v>32</v>
      </c>
    </row>
    <row r="140" spans="1:66" ht="16" x14ac:dyDescent="0.2">
      <c r="A140" t="s">
        <v>78</v>
      </c>
      <c r="B140" t="s">
        <v>571</v>
      </c>
      <c r="C140">
        <v>29.376082</v>
      </c>
      <c r="D140">
        <v>79.464286000000001</v>
      </c>
      <c r="E140">
        <v>1887.300048828125</v>
      </c>
      <c r="F140">
        <v>17.104000091552731</v>
      </c>
      <c r="G140" t="s">
        <v>102</v>
      </c>
      <c r="I140" t="s">
        <v>78</v>
      </c>
      <c r="J140">
        <v>1</v>
      </c>
      <c r="K140">
        <v>0</v>
      </c>
      <c r="L140">
        <v>1</v>
      </c>
      <c r="M140" t="s">
        <v>81</v>
      </c>
      <c r="N140" t="s">
        <v>78</v>
      </c>
      <c r="O140" s="8">
        <v>1</v>
      </c>
      <c r="P140" s="8">
        <v>0</v>
      </c>
      <c r="Q140" s="2" t="s">
        <v>572</v>
      </c>
      <c r="R140" t="s">
        <v>93</v>
      </c>
      <c r="S140" s="8" t="s">
        <v>93</v>
      </c>
      <c r="T140">
        <v>2500</v>
      </c>
      <c r="U140">
        <v>2500</v>
      </c>
      <c r="W140" t="s">
        <v>81</v>
      </c>
      <c r="AC140" t="s">
        <v>82</v>
      </c>
      <c r="BN140">
        <f t="shared" si="2"/>
        <v>42</v>
      </c>
    </row>
    <row r="141" spans="1:66" x14ac:dyDescent="0.2">
      <c r="A141" t="s">
        <v>78</v>
      </c>
      <c r="B141" t="s">
        <v>575</v>
      </c>
      <c r="C141">
        <v>29.375734000000001</v>
      </c>
      <c r="D141">
        <v>79.464741000000004</v>
      </c>
      <c r="E141">
        <v>1876.900024414062</v>
      </c>
      <c r="F141">
        <v>24.093000411987301</v>
      </c>
      <c r="G141" t="s">
        <v>97</v>
      </c>
      <c r="I141" t="s">
        <v>81</v>
      </c>
      <c r="J141">
        <v>1</v>
      </c>
      <c r="K141">
        <v>0</v>
      </c>
      <c r="L141">
        <v>0</v>
      </c>
      <c r="M141" t="s">
        <v>81</v>
      </c>
      <c r="N141" t="s">
        <v>78</v>
      </c>
      <c r="O141" s="8">
        <v>1</v>
      </c>
      <c r="P141" s="8">
        <v>0</v>
      </c>
      <c r="Q141" s="2"/>
      <c r="R141" t="s">
        <v>94</v>
      </c>
      <c r="S141" s="8" t="s">
        <v>94</v>
      </c>
      <c r="W141" t="s">
        <v>81</v>
      </c>
      <c r="X141" t="s">
        <v>81</v>
      </c>
      <c r="AB141">
        <v>15</v>
      </c>
      <c r="AC141" t="s">
        <v>92</v>
      </c>
      <c r="AD141" t="s">
        <v>568</v>
      </c>
      <c r="AE141" t="s">
        <v>576</v>
      </c>
      <c r="AF141">
        <v>0</v>
      </c>
      <c r="AG141">
        <v>1</v>
      </c>
      <c r="AH141">
        <v>0</v>
      </c>
      <c r="AI141">
        <v>1</v>
      </c>
      <c r="AJ141">
        <v>0</v>
      </c>
      <c r="AK141">
        <v>0</v>
      </c>
      <c r="BN141">
        <f t="shared" si="2"/>
        <v>35</v>
      </c>
    </row>
    <row r="142" spans="1:66" ht="16" x14ac:dyDescent="0.2">
      <c r="A142" t="s">
        <v>78</v>
      </c>
      <c r="B142" t="s">
        <v>579</v>
      </c>
      <c r="C142">
        <v>29.376714</v>
      </c>
      <c r="D142">
        <v>79.464420000000004</v>
      </c>
      <c r="E142">
        <v>1894.7812201515289</v>
      </c>
      <c r="F142">
        <v>20.916000366210941</v>
      </c>
      <c r="G142" t="s">
        <v>102</v>
      </c>
      <c r="I142" t="s">
        <v>78</v>
      </c>
      <c r="J142">
        <v>2</v>
      </c>
      <c r="K142">
        <v>0</v>
      </c>
      <c r="L142">
        <v>2</v>
      </c>
      <c r="M142" t="s">
        <v>81</v>
      </c>
      <c r="N142" t="s">
        <v>78</v>
      </c>
      <c r="O142" s="8">
        <v>1</v>
      </c>
      <c r="P142" s="8">
        <v>0</v>
      </c>
      <c r="Q142" s="2" t="s">
        <v>580</v>
      </c>
      <c r="R142" t="s">
        <v>93</v>
      </c>
      <c r="S142" s="8" t="s">
        <v>93</v>
      </c>
      <c r="T142">
        <v>600</v>
      </c>
      <c r="U142">
        <v>600</v>
      </c>
      <c r="W142" t="s">
        <v>81</v>
      </c>
      <c r="AC142" t="s">
        <v>82</v>
      </c>
      <c r="BN142">
        <f t="shared" si="2"/>
        <v>42</v>
      </c>
    </row>
    <row r="143" spans="1:66" ht="16" x14ac:dyDescent="0.2">
      <c r="A143" t="s">
        <v>78</v>
      </c>
      <c r="B143" t="s">
        <v>583</v>
      </c>
      <c r="C143">
        <v>29.377704999999999</v>
      </c>
      <c r="D143">
        <v>79.464110000000005</v>
      </c>
      <c r="E143">
        <v>1897.400024414062</v>
      </c>
      <c r="F143">
        <v>25.13800048828125</v>
      </c>
      <c r="G143" t="s">
        <v>102</v>
      </c>
      <c r="I143" t="s">
        <v>78</v>
      </c>
      <c r="J143">
        <v>1</v>
      </c>
      <c r="K143">
        <v>0</v>
      </c>
      <c r="L143">
        <v>1</v>
      </c>
      <c r="M143" t="s">
        <v>81</v>
      </c>
      <c r="N143" t="s">
        <v>78</v>
      </c>
      <c r="O143" s="8">
        <v>1</v>
      </c>
      <c r="P143" s="8">
        <v>0</v>
      </c>
      <c r="Q143" s="2" t="s">
        <v>572</v>
      </c>
      <c r="R143" t="s">
        <v>93</v>
      </c>
      <c r="S143" s="8" t="s">
        <v>93</v>
      </c>
      <c r="T143">
        <v>500</v>
      </c>
      <c r="U143">
        <v>500</v>
      </c>
      <c r="W143" t="s">
        <v>81</v>
      </c>
      <c r="AC143" t="s">
        <v>82</v>
      </c>
      <c r="BN143">
        <f t="shared" si="2"/>
        <v>42</v>
      </c>
    </row>
    <row r="144" spans="1:66" ht="16" x14ac:dyDescent="0.2">
      <c r="A144" t="s">
        <v>78</v>
      </c>
      <c r="B144" t="s">
        <v>586</v>
      </c>
      <c r="C144">
        <v>29.378247999999999</v>
      </c>
      <c r="D144">
        <v>79.464122000000003</v>
      </c>
      <c r="E144">
        <v>1900.699951171875</v>
      </c>
      <c r="F144">
        <v>22.27400016784668</v>
      </c>
      <c r="G144" t="s">
        <v>102</v>
      </c>
      <c r="I144" t="s">
        <v>78</v>
      </c>
      <c r="J144">
        <v>1</v>
      </c>
      <c r="K144">
        <v>0</v>
      </c>
      <c r="L144">
        <v>1</v>
      </c>
      <c r="M144" t="s">
        <v>81</v>
      </c>
      <c r="N144" t="s">
        <v>78</v>
      </c>
      <c r="O144" s="8">
        <v>1</v>
      </c>
      <c r="P144" s="8">
        <v>0</v>
      </c>
      <c r="Q144" s="2" t="s">
        <v>587</v>
      </c>
      <c r="R144" t="s">
        <v>93</v>
      </c>
      <c r="S144" s="8" t="s">
        <v>93</v>
      </c>
      <c r="W144" t="s">
        <v>81</v>
      </c>
      <c r="AC144" t="s">
        <v>82</v>
      </c>
      <c r="BN144">
        <f t="shared" si="2"/>
        <v>44</v>
      </c>
    </row>
    <row r="145" spans="1:66" ht="16" x14ac:dyDescent="0.2">
      <c r="A145" t="s">
        <v>78</v>
      </c>
      <c r="B145" t="s">
        <v>590</v>
      </c>
      <c r="C145">
        <v>29.378404</v>
      </c>
      <c r="D145">
        <v>79.464096999999995</v>
      </c>
      <c r="E145">
        <v>1902</v>
      </c>
      <c r="F145">
        <v>11.532999992370611</v>
      </c>
      <c r="G145" t="s">
        <v>102</v>
      </c>
      <c r="I145" t="s">
        <v>78</v>
      </c>
      <c r="J145">
        <v>1</v>
      </c>
      <c r="K145">
        <v>0</v>
      </c>
      <c r="L145">
        <v>1</v>
      </c>
      <c r="M145" t="s">
        <v>81</v>
      </c>
      <c r="N145" t="s">
        <v>78</v>
      </c>
      <c r="O145" s="8">
        <v>1</v>
      </c>
      <c r="P145" s="8">
        <v>0</v>
      </c>
      <c r="Q145" s="2" t="s">
        <v>591</v>
      </c>
      <c r="R145" t="s">
        <v>93</v>
      </c>
      <c r="S145" s="8" t="s">
        <v>93</v>
      </c>
      <c r="T145">
        <v>600</v>
      </c>
      <c r="U145">
        <v>600</v>
      </c>
      <c r="W145" t="s">
        <v>81</v>
      </c>
      <c r="AC145" t="s">
        <v>82</v>
      </c>
      <c r="BN145">
        <f t="shared" si="2"/>
        <v>42</v>
      </c>
    </row>
    <row r="146" spans="1:66" ht="16" x14ac:dyDescent="0.2">
      <c r="A146" t="s">
        <v>78</v>
      </c>
      <c r="B146" t="s">
        <v>594</v>
      </c>
      <c r="C146">
        <v>29.378869000000002</v>
      </c>
      <c r="D146">
        <v>79.463857000000004</v>
      </c>
      <c r="E146">
        <v>1902.099975585938</v>
      </c>
      <c r="F146">
        <v>11.48200035095215</v>
      </c>
      <c r="G146" t="s">
        <v>102</v>
      </c>
      <c r="I146" t="s">
        <v>78</v>
      </c>
      <c r="J146">
        <v>2</v>
      </c>
      <c r="K146">
        <v>0</v>
      </c>
      <c r="L146">
        <v>2</v>
      </c>
      <c r="M146" t="s">
        <v>81</v>
      </c>
      <c r="N146" t="s">
        <v>78</v>
      </c>
      <c r="O146" s="8">
        <v>1</v>
      </c>
      <c r="P146" s="8">
        <v>0</v>
      </c>
      <c r="Q146" s="2" t="s">
        <v>595</v>
      </c>
      <c r="R146" t="s">
        <v>93</v>
      </c>
      <c r="S146" s="8" t="s">
        <v>93</v>
      </c>
      <c r="T146">
        <v>1000</v>
      </c>
      <c r="U146">
        <v>1000</v>
      </c>
      <c r="W146" t="s">
        <v>81</v>
      </c>
      <c r="AC146" t="s">
        <v>82</v>
      </c>
      <c r="BN146">
        <f t="shared" si="2"/>
        <v>42</v>
      </c>
    </row>
    <row r="147" spans="1:66" ht="16" x14ac:dyDescent="0.2">
      <c r="A147" t="s">
        <v>78</v>
      </c>
      <c r="B147" t="s">
        <v>598</v>
      </c>
      <c r="C147">
        <v>29.512301999999998</v>
      </c>
      <c r="D147">
        <v>79.621932000000001</v>
      </c>
      <c r="E147">
        <v>1650.699951171875</v>
      </c>
      <c r="F147">
        <v>12.52600002288818</v>
      </c>
      <c r="G147" t="s">
        <v>102</v>
      </c>
      <c r="I147" t="s">
        <v>78</v>
      </c>
      <c r="J147">
        <v>3</v>
      </c>
      <c r="K147">
        <v>1</v>
      </c>
      <c r="L147">
        <v>1</v>
      </c>
      <c r="M147" t="s">
        <v>81</v>
      </c>
      <c r="N147" t="s">
        <v>81</v>
      </c>
      <c r="O147" s="6">
        <v>0</v>
      </c>
      <c r="P147" s="6">
        <v>1</v>
      </c>
      <c r="Q147" s="2" t="s">
        <v>304</v>
      </c>
      <c r="R147" t="s">
        <v>93</v>
      </c>
      <c r="S147" s="8" t="s">
        <v>93</v>
      </c>
      <c r="T147">
        <v>8000</v>
      </c>
      <c r="U147">
        <v>8000</v>
      </c>
      <c r="W147" t="s">
        <v>81</v>
      </c>
      <c r="BN147">
        <f t="shared" si="2"/>
        <v>43</v>
      </c>
    </row>
    <row r="148" spans="1:66" ht="16" x14ac:dyDescent="0.2">
      <c r="A148" t="s">
        <v>78</v>
      </c>
      <c r="B148" t="s">
        <v>601</v>
      </c>
      <c r="C148">
        <v>29.512191000000001</v>
      </c>
      <c r="D148">
        <v>79.622123999999999</v>
      </c>
      <c r="E148">
        <v>1655.099975585938</v>
      </c>
      <c r="F148">
        <v>28.10000038146973</v>
      </c>
      <c r="G148" t="s">
        <v>102</v>
      </c>
      <c r="I148" t="s">
        <v>78</v>
      </c>
      <c r="J148">
        <v>3</v>
      </c>
      <c r="K148">
        <v>0</v>
      </c>
      <c r="L148">
        <v>3</v>
      </c>
      <c r="M148" t="s">
        <v>98</v>
      </c>
      <c r="N148" t="s">
        <v>78</v>
      </c>
      <c r="O148" s="8">
        <v>1</v>
      </c>
      <c r="P148" s="8">
        <v>0</v>
      </c>
      <c r="Q148" s="2"/>
      <c r="R148" s="2" t="s">
        <v>80</v>
      </c>
      <c r="S148" s="8" t="s">
        <v>602</v>
      </c>
      <c r="W148" t="s">
        <v>81</v>
      </c>
      <c r="AC148" t="s">
        <v>82</v>
      </c>
      <c r="BN148">
        <f t="shared" si="2"/>
        <v>45</v>
      </c>
    </row>
    <row r="149" spans="1:66" ht="16" x14ac:dyDescent="0.2">
      <c r="A149" t="s">
        <v>78</v>
      </c>
      <c r="B149" t="s">
        <v>605</v>
      </c>
      <c r="C149">
        <v>29.512253000000001</v>
      </c>
      <c r="D149">
        <v>79.622648999999996</v>
      </c>
      <c r="E149">
        <v>1650.699951171875</v>
      </c>
      <c r="F149">
        <v>10.55000019073486</v>
      </c>
      <c r="G149" t="s">
        <v>102</v>
      </c>
      <c r="I149" t="s">
        <v>78</v>
      </c>
      <c r="J149">
        <v>1</v>
      </c>
      <c r="K149">
        <v>0</v>
      </c>
      <c r="L149">
        <v>1</v>
      </c>
      <c r="M149" t="s">
        <v>98</v>
      </c>
      <c r="N149" t="s">
        <v>81</v>
      </c>
      <c r="O149" s="6">
        <v>0</v>
      </c>
      <c r="P149" s="6">
        <v>1</v>
      </c>
      <c r="Q149" s="2" t="s">
        <v>304</v>
      </c>
      <c r="R149" s="5" t="s">
        <v>93</v>
      </c>
      <c r="S149" s="8" t="s">
        <v>93</v>
      </c>
      <c r="T149">
        <v>6000</v>
      </c>
      <c r="U149">
        <v>6000</v>
      </c>
      <c r="W149" t="s">
        <v>81</v>
      </c>
      <c r="BN149">
        <f t="shared" si="2"/>
        <v>43</v>
      </c>
    </row>
    <row r="150" spans="1:66" x14ac:dyDescent="0.2">
      <c r="A150" t="s">
        <v>78</v>
      </c>
      <c r="B150" t="s">
        <v>608</v>
      </c>
      <c r="C150">
        <v>29.512170999999999</v>
      </c>
      <c r="D150">
        <v>79.622140000000002</v>
      </c>
      <c r="E150">
        <v>1655.099975585938</v>
      </c>
      <c r="F150">
        <v>52.400001525878913</v>
      </c>
      <c r="G150" t="s">
        <v>97</v>
      </c>
      <c r="I150" t="s">
        <v>78</v>
      </c>
      <c r="J150">
        <v>1</v>
      </c>
      <c r="K150">
        <v>0</v>
      </c>
      <c r="M150" t="s">
        <v>81</v>
      </c>
      <c r="N150" t="s">
        <v>78</v>
      </c>
      <c r="O150" s="8">
        <v>1</v>
      </c>
      <c r="P150" s="8">
        <v>0</v>
      </c>
      <c r="Q150" s="2"/>
      <c r="R150" s="5" t="s">
        <v>94</v>
      </c>
      <c r="S150" s="8" t="s">
        <v>94</v>
      </c>
      <c r="T150">
        <v>3000</v>
      </c>
      <c r="U150">
        <v>3000</v>
      </c>
      <c r="W150" t="s">
        <v>81</v>
      </c>
      <c r="X150" t="s">
        <v>81</v>
      </c>
      <c r="AB150">
        <v>3000</v>
      </c>
      <c r="AC150" t="s">
        <v>92</v>
      </c>
      <c r="AD150" t="s">
        <v>609</v>
      </c>
      <c r="AE150" t="s">
        <v>463</v>
      </c>
      <c r="AF150">
        <v>0</v>
      </c>
      <c r="AG150">
        <v>1</v>
      </c>
      <c r="AH150">
        <v>0</v>
      </c>
      <c r="AI150">
        <v>0</v>
      </c>
      <c r="AJ150">
        <v>0</v>
      </c>
      <c r="AK150">
        <v>3600</v>
      </c>
      <c r="BN150">
        <f t="shared" si="2"/>
        <v>34</v>
      </c>
    </row>
    <row r="151" spans="1:66" ht="16" x14ac:dyDescent="0.2">
      <c r="A151" t="s">
        <v>78</v>
      </c>
      <c r="B151" t="s">
        <v>612</v>
      </c>
      <c r="C151">
        <v>29.377026999999998</v>
      </c>
      <c r="D151">
        <v>79.459117000000006</v>
      </c>
      <c r="E151">
        <v>2068.554444352344</v>
      </c>
      <c r="F151">
        <v>19.229134058795889</v>
      </c>
      <c r="G151" t="s">
        <v>613</v>
      </c>
      <c r="I151" t="s">
        <v>81</v>
      </c>
      <c r="J151">
        <v>8</v>
      </c>
      <c r="K151">
        <v>0</v>
      </c>
      <c r="L151">
        <v>8</v>
      </c>
      <c r="M151" t="s">
        <v>81</v>
      </c>
      <c r="N151" t="s">
        <v>78</v>
      </c>
      <c r="O151" s="8">
        <v>1</v>
      </c>
      <c r="P151" s="8">
        <v>0</v>
      </c>
      <c r="Q151" s="2" t="s">
        <v>304</v>
      </c>
      <c r="R151" s="2" t="s">
        <v>80</v>
      </c>
      <c r="S151" s="8"/>
      <c r="T151">
        <v>3400</v>
      </c>
      <c r="U151">
        <v>4000</v>
      </c>
      <c r="W151" t="s">
        <v>81</v>
      </c>
      <c r="AC151" t="s">
        <v>114</v>
      </c>
      <c r="BN151">
        <f t="shared" si="2"/>
        <v>43</v>
      </c>
    </row>
    <row r="152" spans="1:66" ht="16" x14ac:dyDescent="0.2">
      <c r="A152" t="s">
        <v>78</v>
      </c>
      <c r="B152" t="s">
        <v>616</v>
      </c>
      <c r="C152">
        <v>29.512177000000001</v>
      </c>
      <c r="D152">
        <v>79.622011999999998</v>
      </c>
      <c r="E152">
        <v>1694.4225926208489</v>
      </c>
      <c r="F152">
        <v>19.448852547378738</v>
      </c>
      <c r="G152" t="s">
        <v>102</v>
      </c>
      <c r="I152" t="s">
        <v>78</v>
      </c>
      <c r="J152">
        <v>2</v>
      </c>
      <c r="K152">
        <v>0</v>
      </c>
      <c r="L152">
        <v>2</v>
      </c>
      <c r="M152" t="s">
        <v>81</v>
      </c>
      <c r="N152" s="8" t="s">
        <v>303</v>
      </c>
      <c r="O152" s="8">
        <v>1</v>
      </c>
      <c r="P152" s="8">
        <v>1</v>
      </c>
      <c r="Q152" s="2" t="s">
        <v>324</v>
      </c>
      <c r="R152" s="2"/>
      <c r="S152" s="8"/>
      <c r="T152">
        <v>5000</v>
      </c>
      <c r="U152">
        <v>5000</v>
      </c>
      <c r="W152" t="s">
        <v>81</v>
      </c>
      <c r="AC152" t="s">
        <v>82</v>
      </c>
      <c r="BN152">
        <f t="shared" si="2"/>
        <v>44</v>
      </c>
    </row>
    <row r="153" spans="1:66" ht="16" x14ac:dyDescent="0.2">
      <c r="A153" t="s">
        <v>78</v>
      </c>
      <c r="G153" t="s">
        <v>102</v>
      </c>
      <c r="I153" t="s">
        <v>78</v>
      </c>
      <c r="J153">
        <v>2</v>
      </c>
      <c r="K153">
        <v>2</v>
      </c>
      <c r="L153">
        <v>2</v>
      </c>
      <c r="M153" t="s">
        <v>81</v>
      </c>
      <c r="N153" t="s">
        <v>81</v>
      </c>
      <c r="O153" s="6">
        <v>0</v>
      </c>
      <c r="P153" s="6">
        <v>1</v>
      </c>
      <c r="Q153" s="2" t="s">
        <v>304</v>
      </c>
      <c r="R153" s="2" t="s">
        <v>80</v>
      </c>
      <c r="S153" s="8" t="s">
        <v>602</v>
      </c>
      <c r="T153">
        <v>3000</v>
      </c>
      <c r="U153">
        <v>3000</v>
      </c>
      <c r="W153" t="s">
        <v>81</v>
      </c>
      <c r="BN153">
        <f t="shared" si="2"/>
        <v>48</v>
      </c>
    </row>
    <row r="154" spans="1:66" ht="16" x14ac:dyDescent="0.2">
      <c r="A154" t="s">
        <v>78</v>
      </c>
      <c r="B154" t="s">
        <v>621</v>
      </c>
      <c r="C154">
        <v>29.512180000000001</v>
      </c>
      <c r="D154">
        <v>79.622035999999994</v>
      </c>
      <c r="E154">
        <v>1694.8424945724969</v>
      </c>
      <c r="F154">
        <v>19.078786077105239</v>
      </c>
      <c r="G154" t="s">
        <v>102</v>
      </c>
      <c r="I154" t="s">
        <v>78</v>
      </c>
      <c r="J154">
        <v>1</v>
      </c>
      <c r="K154">
        <v>1</v>
      </c>
      <c r="L154">
        <v>0</v>
      </c>
      <c r="M154" t="s">
        <v>81</v>
      </c>
      <c r="N154" t="s">
        <v>78</v>
      </c>
      <c r="O154" s="8">
        <v>1</v>
      </c>
      <c r="P154" s="8">
        <v>0</v>
      </c>
      <c r="Q154" s="2" t="s">
        <v>622</v>
      </c>
      <c r="R154" s="2" t="s">
        <v>80</v>
      </c>
      <c r="S154" s="8"/>
      <c r="T154">
        <v>1200</v>
      </c>
      <c r="U154">
        <v>1200</v>
      </c>
      <c r="W154" t="s">
        <v>81</v>
      </c>
      <c r="AC154" t="s">
        <v>82</v>
      </c>
      <c r="BN154">
        <f t="shared" si="2"/>
        <v>43</v>
      </c>
    </row>
    <row r="155" spans="1:66" ht="16" x14ac:dyDescent="0.2">
      <c r="A155" t="s">
        <v>78</v>
      </c>
      <c r="B155" t="s">
        <v>625</v>
      </c>
      <c r="C155">
        <v>29.505122</v>
      </c>
      <c r="D155">
        <v>79.615482</v>
      </c>
      <c r="E155">
        <v>1699.199951171875</v>
      </c>
      <c r="F155">
        <v>330.70901489257812</v>
      </c>
      <c r="G155" t="s">
        <v>102</v>
      </c>
      <c r="I155" t="s">
        <v>78</v>
      </c>
      <c r="J155">
        <v>2</v>
      </c>
      <c r="K155">
        <v>1</v>
      </c>
      <c r="L155">
        <v>1</v>
      </c>
      <c r="M155" t="s">
        <v>81</v>
      </c>
      <c r="N155" t="s">
        <v>78</v>
      </c>
      <c r="O155" s="8">
        <v>1</v>
      </c>
      <c r="P155" s="8">
        <v>0</v>
      </c>
      <c r="Q155" s="2" t="s">
        <v>93</v>
      </c>
      <c r="R155" s="2" t="s">
        <v>80</v>
      </c>
      <c r="S155" s="8" t="s">
        <v>602</v>
      </c>
      <c r="T155">
        <v>300</v>
      </c>
      <c r="U155">
        <v>300</v>
      </c>
      <c r="W155" t="s">
        <v>81</v>
      </c>
      <c r="AC155" t="s">
        <v>92</v>
      </c>
      <c r="BN155">
        <f t="shared" si="2"/>
        <v>42</v>
      </c>
    </row>
    <row r="156" spans="1:66" ht="32" x14ac:dyDescent="0.2">
      <c r="A156" t="s">
        <v>78</v>
      </c>
      <c r="B156" t="s">
        <v>628</v>
      </c>
      <c r="C156">
        <v>29.439713000000001</v>
      </c>
      <c r="D156">
        <v>79.634771000000001</v>
      </c>
      <c r="E156">
        <v>1857.400024414062</v>
      </c>
      <c r="F156">
        <v>14.44299983978271</v>
      </c>
      <c r="G156" t="s">
        <v>267</v>
      </c>
      <c r="I156" t="s">
        <v>81</v>
      </c>
      <c r="J156">
        <v>9</v>
      </c>
      <c r="K156">
        <v>18</v>
      </c>
      <c r="L156">
        <v>2</v>
      </c>
      <c r="M156" t="s">
        <v>98</v>
      </c>
      <c r="N156" t="s">
        <v>78</v>
      </c>
      <c r="O156" s="8">
        <v>1</v>
      </c>
      <c r="P156" s="8">
        <v>0</v>
      </c>
      <c r="Q156" s="2" t="s">
        <v>629</v>
      </c>
      <c r="R156" s="2"/>
      <c r="S156" s="9"/>
      <c r="T156">
        <v>300</v>
      </c>
      <c r="U156">
        <v>200</v>
      </c>
      <c r="W156" t="s">
        <v>81</v>
      </c>
      <c r="X156" t="s">
        <v>78</v>
      </c>
      <c r="Y156">
        <v>2</v>
      </c>
      <c r="Z156">
        <v>4</v>
      </c>
      <c r="AA156" t="s">
        <v>78</v>
      </c>
      <c r="AB156">
        <v>1500</v>
      </c>
      <c r="AC156" t="s">
        <v>142</v>
      </c>
      <c r="AD156" t="s">
        <v>630</v>
      </c>
      <c r="AE156" t="s">
        <v>463</v>
      </c>
      <c r="AF156">
        <v>0</v>
      </c>
      <c r="AG156">
        <v>1</v>
      </c>
      <c r="AH156">
        <v>0</v>
      </c>
      <c r="AI156">
        <v>0</v>
      </c>
      <c r="AJ156">
        <v>0</v>
      </c>
      <c r="AK156">
        <v>0</v>
      </c>
      <c r="BN156">
        <f t="shared" si="2"/>
        <v>31</v>
      </c>
    </row>
    <row r="157" spans="1:66" s="12" customFormat="1" x14ac:dyDescent="0.2">
      <c r="O157" s="17"/>
      <c r="P157" s="17"/>
      <c r="BL157" s="13"/>
      <c r="BN157" s="15"/>
    </row>
    <row r="158" spans="1:66" x14ac:dyDescent="0.2">
      <c r="A158" s="10">
        <f t="shared" ref="A158:AK158" si="3">COUNTBLANK(A2:A156)</f>
        <v>5</v>
      </c>
      <c r="B158" s="10">
        <f t="shared" si="3"/>
        <v>82</v>
      </c>
      <c r="C158" s="10">
        <f t="shared" si="3"/>
        <v>82</v>
      </c>
      <c r="D158" s="10">
        <f t="shared" si="3"/>
        <v>82</v>
      </c>
      <c r="E158" s="10">
        <f t="shared" si="3"/>
        <v>82</v>
      </c>
      <c r="F158" s="10">
        <f t="shared" si="3"/>
        <v>82</v>
      </c>
      <c r="G158" s="10">
        <f t="shared" si="3"/>
        <v>6</v>
      </c>
      <c r="H158" s="10">
        <f t="shared" si="3"/>
        <v>146</v>
      </c>
      <c r="I158" s="10">
        <f t="shared" si="3"/>
        <v>1</v>
      </c>
      <c r="J158" s="10">
        <f t="shared" si="3"/>
        <v>4</v>
      </c>
      <c r="K158" s="10">
        <f t="shared" si="3"/>
        <v>13</v>
      </c>
      <c r="L158" s="10">
        <f t="shared" si="3"/>
        <v>8</v>
      </c>
      <c r="M158" s="10">
        <f t="shared" si="3"/>
        <v>7</v>
      </c>
      <c r="N158" s="10">
        <f t="shared" si="3"/>
        <v>2</v>
      </c>
      <c r="O158" s="10">
        <f t="shared" si="3"/>
        <v>2</v>
      </c>
      <c r="P158" s="10">
        <f t="shared" si="3"/>
        <v>2</v>
      </c>
      <c r="Q158" s="10">
        <f t="shared" si="3"/>
        <v>40</v>
      </c>
      <c r="R158" s="10">
        <f t="shared" si="3"/>
        <v>33</v>
      </c>
      <c r="S158" s="11">
        <f t="shared" si="3"/>
        <v>138</v>
      </c>
      <c r="T158" s="10">
        <f t="shared" si="3"/>
        <v>12</v>
      </c>
      <c r="U158" s="10">
        <f t="shared" si="3"/>
        <v>17</v>
      </c>
      <c r="V158" s="10">
        <f t="shared" si="3"/>
        <v>97</v>
      </c>
      <c r="W158" s="10">
        <f t="shared" si="3"/>
        <v>64</v>
      </c>
      <c r="X158" s="10">
        <f t="shared" si="3"/>
        <v>67</v>
      </c>
      <c r="Y158" s="10">
        <f t="shared" si="3"/>
        <v>138</v>
      </c>
      <c r="Z158" s="10">
        <f t="shared" si="3"/>
        <v>140</v>
      </c>
      <c r="AA158" s="10">
        <f t="shared" si="3"/>
        <v>82</v>
      </c>
      <c r="AB158" s="10">
        <f t="shared" si="3"/>
        <v>80</v>
      </c>
      <c r="AC158" s="10">
        <f t="shared" si="3"/>
        <v>39</v>
      </c>
      <c r="AD158" s="10">
        <f t="shared" si="3"/>
        <v>137</v>
      </c>
      <c r="AE158" s="10">
        <f t="shared" si="3"/>
        <v>74</v>
      </c>
      <c r="AF158" s="10">
        <f t="shared" si="3"/>
        <v>74</v>
      </c>
      <c r="AG158" s="10">
        <f t="shared" si="3"/>
        <v>74</v>
      </c>
      <c r="AH158" s="10">
        <f t="shared" si="3"/>
        <v>74</v>
      </c>
      <c r="AI158" s="10">
        <f t="shared" si="3"/>
        <v>74</v>
      </c>
      <c r="AJ158" s="10">
        <f t="shared" si="3"/>
        <v>126</v>
      </c>
      <c r="AK158" s="10">
        <f t="shared" si="3"/>
        <v>126</v>
      </c>
      <c r="AL158" s="11">
        <f>COUNTBLANK(AL2:AL156)</f>
        <v>155</v>
      </c>
      <c r="AM158" s="11">
        <f>COUNTBLANK(AM2:AM156)</f>
        <v>155</v>
      </c>
      <c r="AN158" s="11">
        <f>COUNTBLANK(AN2:AN156)</f>
        <v>155</v>
      </c>
      <c r="AO158" s="11">
        <f>COUNTBLANK(AO2:AO156)</f>
        <v>155</v>
      </c>
      <c r="AP158" s="11">
        <f>COUNTBLANK(AP2:AP156)</f>
        <v>155</v>
      </c>
      <c r="AQ158" s="11">
        <f>COUNTBLANK(AQ2:AQ156)</f>
        <v>155</v>
      </c>
      <c r="AR158" s="11">
        <f>COUNTBLANK(AR2:AR156)</f>
        <v>120</v>
      </c>
      <c r="AS158" s="11">
        <f>COUNTBLANK(AS2:AS156)</f>
        <v>155</v>
      </c>
      <c r="AT158" s="11">
        <f>COUNTBLANK(AT2:AT156)</f>
        <v>155</v>
      </c>
      <c r="AU158" s="11">
        <f>COUNTBLANK(AU2:AU156)</f>
        <v>155</v>
      </c>
      <c r="AV158" s="10">
        <f>COUNTBLANK(AV2:AV156)</f>
        <v>126</v>
      </c>
      <c r="AW158" s="10">
        <f>COUNTBLANK(AW2:AW156)</f>
        <v>126</v>
      </c>
      <c r="AX158" s="10">
        <f>COUNTBLANK(AX2:AX156)</f>
        <v>126</v>
      </c>
      <c r="AY158" s="10">
        <f>COUNTBLANK(AY2:AY156)</f>
        <v>126</v>
      </c>
      <c r="AZ158" s="10">
        <f>COUNTBLANK(AZ2:AZ156)</f>
        <v>126</v>
      </c>
      <c r="BA158" s="11">
        <f>COUNTBLANK(BA2:BA156)</f>
        <v>155</v>
      </c>
      <c r="BB158" s="11">
        <f>COUNTBLANK(BB2:BB156)</f>
        <v>155</v>
      </c>
      <c r="BC158" s="11">
        <f>COUNTBLANK(BC2:BC156)</f>
        <v>155</v>
      </c>
      <c r="BD158" s="11">
        <f>COUNTBLANK(BD2:BD156)</f>
        <v>101</v>
      </c>
      <c r="BE158" s="11">
        <f>COUNTBLANK(BE2:BE156)</f>
        <v>155</v>
      </c>
      <c r="BF158" s="11">
        <f>COUNTBLANK(BF2:BF156)</f>
        <v>101</v>
      </c>
      <c r="BG158" s="11">
        <f>COUNTBLANK(BG2:BG156)</f>
        <v>155</v>
      </c>
      <c r="BH158" s="11">
        <f>COUNTBLANK(BH2:BH156)</f>
        <v>155</v>
      </c>
      <c r="BI158" s="11">
        <f>COUNTBLANK(BI2:BI156)</f>
        <v>155</v>
      </c>
      <c r="BJ158" s="11">
        <f>COUNTBLANK(BJ2:BJ156)</f>
        <v>155</v>
      </c>
      <c r="BK158" s="11">
        <f>COUNTBLANK(BK2:BK156)</f>
        <v>155</v>
      </c>
      <c r="BL158" s="14">
        <f>COUNTBLANK(BL2:BL156)</f>
        <v>155</v>
      </c>
    </row>
  </sheetData>
  <autoFilter ref="A1:BL156" xr:uid="{00000000-0001-0000-0000-000000000000}"/>
  <conditionalFormatting sqref="BN1:BN156">
    <cfRule type="cellIs" dxfId="0" priority="1" operator="equal">
      <formula>64</formula>
    </cfRule>
  </conditionalFormatting>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RAW</vt:lpstr>
      <vt:lpstr>Enterprise_Urban Immersion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Shreyit Sinha</cp:lastModifiedBy>
  <dcterms:created xsi:type="dcterms:W3CDTF">2026-07-05T06:03:02Z</dcterms:created>
  <dcterms:modified xsi:type="dcterms:W3CDTF">2026-07-29T10:25:30Z</dcterms:modified>
</cp:coreProperties>
</file>