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rick/Desktop/Urban FieldWork/DATA/"/>
    </mc:Choice>
  </mc:AlternateContent>
  <xr:revisionPtr revIDLastSave="0" documentId="13_ncr:1_{3F98A1E3-6F73-F64A-B826-335C766AE3B1}" xr6:coauthVersionLast="47" xr6:coauthVersionMax="47" xr10:uidLastSave="{00000000-0000-0000-0000-000000000000}"/>
  <bookViews>
    <workbookView xWindow="160" yWindow="900" windowWidth="29080" windowHeight="16880" activeTab="3" xr2:uid="{00000000-000D-0000-FFFF-FFFF00000000}"/>
  </bookViews>
  <sheets>
    <sheet name="Indicator Summary Stats" sheetId="1" r:id="rId1"/>
    <sheet name="Cronbachs Alpha" sheetId="2" r:id="rId2"/>
    <sheet name="Sheet1" sheetId="4" r:id="rId3"/>
    <sheet name="Sheet2" sheetId="5" r:id="rId4"/>
    <sheet name="Pillar Aggregate Scores" sheetId="3" r:id="rId5"/>
  </sheets>
  <calcPr calcId="124519"/>
  <pivotCaches>
    <pivotCache cacheId="10" r:id="rId6"/>
  </pivotCaches>
</workbook>
</file>

<file path=xl/sharedStrings.xml><?xml version="1.0" encoding="utf-8"?>
<sst xmlns="http://schemas.openxmlformats.org/spreadsheetml/2006/main" count="320" uniqueCount="84">
  <si>
    <t>Group</t>
  </si>
  <si>
    <t>Indicator</t>
  </si>
  <si>
    <t>N</t>
  </si>
  <si>
    <t>Missing</t>
  </si>
  <si>
    <t>Mean</t>
  </si>
  <si>
    <t>Median</t>
  </si>
  <si>
    <t>SD</t>
  </si>
  <si>
    <t>Min</t>
  </si>
  <si>
    <t>Max</t>
  </si>
  <si>
    <t>Resident</t>
  </si>
  <si>
    <t>Economic_Benefit</t>
  </si>
  <si>
    <t>Economic_Vulnerability</t>
  </si>
  <si>
    <t>Water_Service_Stress</t>
  </si>
  <si>
    <t>Water_Management_Practice</t>
  </si>
  <si>
    <t>Environmental_Condition</t>
  </si>
  <si>
    <t>Sanitation_Waste_Pressure</t>
  </si>
  <si>
    <t>Tourism_Pressure</t>
  </si>
  <si>
    <t>Social_Cultural_Wellbeing</t>
  </si>
  <si>
    <t>Enterprise</t>
  </si>
  <si>
    <t>Tourist</t>
  </si>
  <si>
    <t>Economic_Contribution</t>
  </si>
  <si>
    <t>Worker</t>
  </si>
  <si>
    <t>Worker_Security</t>
  </si>
  <si>
    <t>N_Components</t>
  </si>
  <si>
    <t>Components</t>
  </si>
  <si>
    <t>N_Complete_Cases</t>
  </si>
  <si>
    <t>Cronbachs_Alpha</t>
  </si>
  <si>
    <t>c_water_hours | c_water_source | c_water_bought</t>
  </si>
  <si>
    <t>c_wm_rwh | c_wm_reuse | c_wm_fixtures</t>
  </si>
  <si>
    <t>c_econ_livelihood | c_econ_growth</t>
  </si>
  <si>
    <t>c_econ_noalt</t>
  </si>
  <si>
    <t>c_env_5yr | c_env_water</t>
  </si>
  <si>
    <t>c_sanitation_overflow</t>
  </si>
  <si>
    <t>c_pressure_travel | c_pressure_price</t>
  </si>
  <si>
    <t>c_social_respect</t>
  </si>
  <si>
    <t>c_water_shortage | c_water_ops</t>
  </si>
  <si>
    <t>c_econ_owner | c_econ_localemp</t>
  </si>
  <si>
    <t>c_econ_vuln</t>
  </si>
  <si>
    <t>c_social_culture | c_social_cuisine</t>
  </si>
  <si>
    <t>c_econ_spend | c_econ_localprod</t>
  </si>
  <si>
    <t>c_econ_overspend</t>
  </si>
  <si>
    <t>c_env_clean | c_env_dustbin</t>
  </si>
  <si>
    <t>c_sanit_dustbin | c_sanit_clean</t>
  </si>
  <si>
    <t>c_pressure_reported | c_pressure_satisfaction</t>
  </si>
  <si>
    <t>c_social_event | c_social_product</t>
  </si>
  <si>
    <t>c_econ_seasonalgap</t>
  </si>
  <si>
    <t>Pillar</t>
  </si>
  <si>
    <t>Economic</t>
  </si>
  <si>
    <t>Economic_Benefit | Economic_Vulnerability</t>
  </si>
  <si>
    <t>Environmental</t>
  </si>
  <si>
    <t>Water_Service_Stress | Water_Management_Practice | Environmental_Condition | Sanitation_Waste_Pressure</t>
  </si>
  <si>
    <t>Social</t>
  </si>
  <si>
    <t>Tourism_Pressure | Social_Cultural_Wellbeing</t>
  </si>
  <si>
    <t>Economic_Contribution | Economic_Vulnerability</t>
  </si>
  <si>
    <t>Environmental_Condition | Sanitation_Waste_Pressure</t>
  </si>
  <si>
    <t>NOT MEASURED</t>
  </si>
  <si>
    <t>Number Indicators</t>
  </si>
  <si>
    <t>Number Respondents</t>
  </si>
  <si>
    <t>Indicators Used</t>
  </si>
  <si>
    <t>Mean Score</t>
  </si>
  <si>
    <t>NA</t>
  </si>
  <si>
    <t>water</t>
  </si>
  <si>
    <t>Price</t>
  </si>
  <si>
    <t xml:space="preserve">Enviroment </t>
  </si>
  <si>
    <t>What are the negative aspects/prablems of tourism</t>
  </si>
  <si>
    <t>RESIDENT</t>
  </si>
  <si>
    <t>What are the positive aspect of tourism</t>
  </si>
  <si>
    <t>Income</t>
  </si>
  <si>
    <t>Emloyment</t>
  </si>
  <si>
    <t>Developmet</t>
  </si>
  <si>
    <t>Business</t>
  </si>
  <si>
    <t>TOURIST</t>
  </si>
  <si>
    <t>What are the challenges faced by you in Nainital</t>
  </si>
  <si>
    <t>Crowd/Congestion</t>
  </si>
  <si>
    <t>Cleaniliness</t>
  </si>
  <si>
    <t>What is your best experience in Nainital</t>
  </si>
  <si>
    <t>Nature</t>
  </si>
  <si>
    <t>People</t>
  </si>
  <si>
    <t>Food</t>
  </si>
  <si>
    <t>Traffic and Parking</t>
  </si>
  <si>
    <t>Row Labels</t>
  </si>
  <si>
    <t>Grand Total</t>
  </si>
  <si>
    <t>Sum of Mean Score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</si>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</sst>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[Final_Pillar_Report.xlsx]Sheet2!PivotTable2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1" u="none" strike="noStrike" baseline="0">
                <a:effectLst/>
              </a:rPr>
              <a:t>Comparison of Sustainability Pillar Scores Across Stakeholder Groups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B0F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tx2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725313453954695"/>
          <c:y val="0.11466437453236897"/>
          <c:w val="0.62683309968949386"/>
          <c:h val="0.85232283464566927"/>
        </c:manualLayout>
      </c:layout>
      <c:radarChart>
        <c:radarStyle val="marker"/>
        <c:varyColors val="0"/>
        <c:ser>
          <c:idx val="0"/>
          <c:order val="0"/>
          <c:tx>
            <c:strRef>
              <c:f>Sheet2!$B$4:$B$5</c:f>
              <c:strCache>
                <c:ptCount val="1"/>
                <c:pt idx="0">
                  <c:v>Enterprise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Sheet2!$A$6:$A$9</c:f>
              <c:strCache>
                <c:ptCount val="3"/>
                <c:pt idx="0">
                  <c:v>Economic</c:v>
                </c:pt>
                <c:pt idx="1">
                  <c:v>Environmental</c:v>
                </c:pt>
                <c:pt idx="2">
                  <c:v>Social</c:v>
                </c:pt>
              </c:strCache>
            </c:strRef>
          </c:cat>
          <c:val>
            <c:numRef>
              <c:f>Sheet2!$B$6:$B$9</c:f>
              <c:numCache>
                <c:formatCode>General</c:formatCode>
                <c:ptCount val="3"/>
                <c:pt idx="0">
                  <c:v>0.56200000000000006</c:v>
                </c:pt>
                <c:pt idx="1">
                  <c:v>0.255</c:v>
                </c:pt>
                <c:pt idx="2">
                  <c:v>0.33300000000000002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B-DE45-9D29-ED7140679B0D}"/>
            </c:ext>
          </c:extLst>
        </c:ser>
        <c:ser>
          <c:idx val="1"/>
          <c:order val="1"/>
          <c:tx>
            <c:strRef>
              <c:f>Sheet2!$C$4:$C$5</c:f>
              <c:strCache>
                <c:ptCount val="1"/>
                <c:pt idx="0">
                  <c:v>Resident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Sheet2!$A$6:$A$9</c:f>
              <c:strCache>
                <c:ptCount val="3"/>
                <c:pt idx="0">
                  <c:v>Economic</c:v>
                </c:pt>
                <c:pt idx="1">
                  <c:v>Environmental</c:v>
                </c:pt>
                <c:pt idx="2">
                  <c:v>Social</c:v>
                </c:pt>
              </c:strCache>
            </c:strRef>
          </c:cat>
          <c:val>
            <c:numRef>
              <c:f>Sheet2!$C$6:$C$9</c:f>
              <c:numCache>
                <c:formatCode>General</c:formatCode>
                <c:ptCount val="3"/>
                <c:pt idx="0">
                  <c:v>0.57099999999999995</c:v>
                </c:pt>
                <c:pt idx="1">
                  <c:v>0.39200000000000002</c:v>
                </c:pt>
                <c:pt idx="2">
                  <c:v>0.61299999999999999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7B-DE45-9D29-ED7140679B0D}"/>
            </c:ext>
          </c:extLst>
        </c:ser>
        <c:ser>
          <c:idx val="2"/>
          <c:order val="2"/>
          <c:tx>
            <c:strRef>
              <c:f>Sheet2!$D$4:$D$5</c:f>
              <c:strCache>
                <c:ptCount val="1"/>
                <c:pt idx="0">
                  <c:v>Tourist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Sheet2!$A$6:$A$9</c:f>
              <c:strCache>
                <c:ptCount val="3"/>
                <c:pt idx="0">
                  <c:v>Economic</c:v>
                </c:pt>
                <c:pt idx="1">
                  <c:v>Environmental</c:v>
                </c:pt>
                <c:pt idx="2">
                  <c:v>Social</c:v>
                </c:pt>
              </c:strCache>
            </c:strRef>
          </c:cat>
          <c:val>
            <c:numRef>
              <c:f>Sheet2!$D$6:$D$9</c:f>
              <c:numCache>
                <c:formatCode>General</c:formatCode>
                <c:ptCount val="3"/>
                <c:pt idx="0">
                  <c:v>0.36599999999999999</c:v>
                </c:pt>
                <c:pt idx="1">
                  <c:v>0.622</c:v>
                </c:pt>
                <c:pt idx="2">
                  <c:v>0.33100000000000002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7B-DE45-9D29-ED7140679B0D}"/>
            </c:ext>
          </c:extLst>
        </c:ser>
        <c:ser>
          <c:idx val="3"/>
          <c:order val="3"/>
          <c:tx>
            <c:strRef>
              <c:f>Sheet2!$E$4:$E$5</c:f>
              <c:strCache>
                <c:ptCount val="1"/>
                <c:pt idx="0">
                  <c:v>Worker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Sheet2!$A$6:$A$9</c:f>
              <c:strCache>
                <c:ptCount val="3"/>
                <c:pt idx="0">
                  <c:v>Economic</c:v>
                </c:pt>
                <c:pt idx="1">
                  <c:v>Environmental</c:v>
                </c:pt>
                <c:pt idx="2">
                  <c:v>Social</c:v>
                </c:pt>
              </c:strCache>
            </c:strRef>
          </c:cat>
          <c:val>
            <c:numRef>
              <c:f>Sheet2!$E$6:$E$9</c:f>
              <c:numCache>
                <c:formatCode>General</c:formatCode>
                <c:ptCount val="3"/>
                <c:pt idx="0">
                  <c:v>0.371</c:v>
                </c:pt>
                <c:pt idx="2">
                  <c:v>0.22800000000000001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7B-DE45-9D29-ED7140679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7087840"/>
        <c:axId val="2002862448"/>
      </c:radarChart>
      <c:catAx>
        <c:axId val="166708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862448"/>
        <c:crosses val="autoZero"/>
        <c:auto val="1"/>
        <c:lblAlgn val="ctr"/>
        <c:lblOffset val="100"/>
        <c:noMultiLvlLbl val="0"/>
      </c:catAx>
      <c:valAx>
        <c:axId val="20028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08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187168367681161"/>
          <c:y val="0.19438860583603521"/>
          <c:w val="0.11513330800372083"/>
          <c:h val="0.154412833576798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1</xdr:row>
      <xdr:rowOff>139700</xdr:rowOff>
    </xdr:from>
    <xdr:to>
      <xdr:col>18</xdr:col>
      <xdr:colOff>368300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437E0-ADF7-E597-9A0E-7E179C151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erick " refreshedDate="46257.88418483796" createdVersion="8" refreshedVersion="8" minRefreshableVersion="3" recordCount="13" xr:uid="{7FD80EAA-1130-DD46-BD3E-E7745A86F31E}">
  <cacheSource type="worksheet">
    <worksheetSource ref="A1:G14" sheet="Pillar Aggregate Scores"/>
  </cacheSource>
  <cacheFields count="7">
    <cacheField name="Group" numFmtId="0">
      <sharedItems containsBlank="1" count="5">
        <s v="Resident"/>
        <s v="Enterprise"/>
        <s v="Tourist"/>
        <s v="Worker"/>
        <m/>
      </sharedItems>
    </cacheField>
    <cacheField name="Pillar" numFmtId="0">
      <sharedItems containsBlank="1" count="4">
        <s v="Economic"/>
        <s v="Environmental"/>
        <s v="Social"/>
        <m/>
      </sharedItems>
    </cacheField>
    <cacheField name="Number Indicators" numFmtId="0">
      <sharedItems containsString="0" containsBlank="1" containsNumber="1" containsInteger="1" minValue="0" maxValue="4"/>
    </cacheField>
    <cacheField name="Indicators Used" numFmtId="0">
      <sharedItems containsBlank="1"/>
    </cacheField>
    <cacheField name="Number Respondents" numFmtId="0">
      <sharedItems containsString="0" containsBlank="1" containsNumber="1" containsInteger="1" minValue="90" maxValue="315"/>
    </cacheField>
    <cacheField name="Mean Score" numFmtId="0">
      <sharedItems containsString="0" containsBlank="1" containsNumber="1" minValue="0.22800000000000001" maxValue="0.622" count="12">
        <n v="0.57099999999999995"/>
        <n v="0.39200000000000002"/>
        <n v="0.61299999999999999"/>
        <n v="0.56200000000000006"/>
        <n v="0.255"/>
        <n v="0.33300000000000002"/>
        <n v="0.36599999999999999"/>
        <n v="0.622"/>
        <n v="0.33100000000000002"/>
        <n v="0.371"/>
        <m/>
        <n v="0.22800000000000001"/>
      </sharedItems>
    </cacheField>
    <cacheField name="SD" numFmtId="0">
      <sharedItems containsString="0" containsBlank="1" containsNumber="1" minValue="0.16400000000000001" maxValue="0.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n v="2"/>
    <s v="Economic_Benefit | Economic_Vulnerability"/>
    <n v="239"/>
    <x v="0"/>
    <n v="0.33900000000000002"/>
  </r>
  <r>
    <x v="0"/>
    <x v="1"/>
    <n v="4"/>
    <s v="Water_Service_Stress | Water_Management_Practice | Environmental_Condition | Sanitation_Waste_Pressure"/>
    <n v="239"/>
    <x v="1"/>
    <n v="0.16400000000000001"/>
  </r>
  <r>
    <x v="0"/>
    <x v="2"/>
    <n v="2"/>
    <s v="Tourism_Pressure | Social_Cultural_Wellbeing"/>
    <n v="227"/>
    <x v="2"/>
    <n v="0.215"/>
  </r>
  <r>
    <x v="1"/>
    <x v="0"/>
    <n v="2"/>
    <s v="Economic_Benefit | Economic_Vulnerability"/>
    <n v="154"/>
    <x v="3"/>
    <n v="0.255"/>
  </r>
  <r>
    <x v="1"/>
    <x v="1"/>
    <n v="1"/>
    <s v="Water_Service_Stress"/>
    <n v="119"/>
    <x v="4"/>
    <n v="0.30099999999999999"/>
  </r>
  <r>
    <x v="1"/>
    <x v="2"/>
    <n v="1"/>
    <s v="Social_Cultural_Wellbeing"/>
    <n v="90"/>
    <x v="5"/>
    <n v="0.41699999999999998"/>
  </r>
  <r>
    <x v="2"/>
    <x v="0"/>
    <n v="2"/>
    <s v="Economic_Contribution | Economic_Vulnerability"/>
    <n v="315"/>
    <x v="6"/>
    <n v="0.29699999999999999"/>
  </r>
  <r>
    <x v="2"/>
    <x v="1"/>
    <n v="2"/>
    <s v="Environmental_Condition | Sanitation_Waste_Pressure"/>
    <n v="311"/>
    <x v="7"/>
    <n v="0.3"/>
  </r>
  <r>
    <x v="2"/>
    <x v="2"/>
    <n v="2"/>
    <s v="Tourism_Pressure | Social_Cultural_Wellbeing"/>
    <n v="310"/>
    <x v="8"/>
    <n v="0.28599999999999998"/>
  </r>
  <r>
    <x v="3"/>
    <x v="0"/>
    <n v="1"/>
    <s v="Economic_Vulnerability"/>
    <n v="285"/>
    <x v="9"/>
    <n v="0.32600000000000001"/>
  </r>
  <r>
    <x v="3"/>
    <x v="1"/>
    <n v="0"/>
    <s v="NOT MEASURED"/>
    <m/>
    <x v="10"/>
    <m/>
  </r>
  <r>
    <x v="3"/>
    <x v="2"/>
    <n v="1"/>
    <s v="Worker_Security"/>
    <n v="294"/>
    <x v="11"/>
    <n v="0.42"/>
  </r>
  <r>
    <x v="4"/>
    <x v="3"/>
    <m/>
    <m/>
    <m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A3196-650C-A148-9822-7A3ACD853D1B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F9" firstHeaderRow="1" firstDataRow="2" firstDataCol="1"/>
  <pivotFields count="7">
    <pivotField axis="axisCol" multipleItemSelectionAllowed="1" showAll="0">
      <items count="6">
        <item x="1"/>
        <item x="0"/>
        <item x="2"/>
        <item x="3"/>
        <item h="1" x="4"/>
        <item t="default"/>
      </items>
    </pivotField>
    <pivotField axis="axisRow" multipleItemSelectionAllowed="1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dataField="1" showAll="0">
      <items count="13">
        <item x="11"/>
        <item x="4"/>
        <item x="8"/>
        <item x="5"/>
        <item x="6"/>
        <item x="9"/>
        <item x="1"/>
        <item x="3"/>
        <item x="0"/>
        <item x="2"/>
        <item x="7"/>
        <item x="10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Mean Score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25" zoomScale="182" workbookViewId="0">
      <selection activeCell="J28" sqref="J28"/>
    </sheetView>
  </sheetViews>
  <sheetFormatPr baseColWidth="10" defaultColWidth="8.83203125" defaultRowHeight="15" x14ac:dyDescent="0.2"/>
  <cols>
    <col min="1" max="1" width="8.83203125" style="4"/>
    <col min="2" max="2" width="23.83203125" style="4" bestFit="1" customWidth="1"/>
    <col min="3" max="3" width="4.1640625" style="4" bestFit="1" customWidth="1"/>
    <col min="4" max="4" width="7" style="4" bestFit="1" customWidth="1"/>
    <col min="5" max="5" width="6.1640625" style="4" bestFit="1" customWidth="1"/>
    <col min="6" max="6" width="7.1640625" style="4" bestFit="1" customWidth="1"/>
    <col min="7" max="7" width="6.1640625" style="4" bestFit="1" customWidth="1"/>
    <col min="8" max="8" width="4.33203125" style="4" bestFit="1" customWidth="1"/>
    <col min="9" max="9" width="4.5" style="4" bestFit="1" customWidth="1"/>
  </cols>
  <sheetData>
    <row r="1" spans="1:9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s="4" t="s">
        <v>9</v>
      </c>
      <c r="B2" s="4" t="s">
        <v>10</v>
      </c>
      <c r="C2" s="4">
        <v>239</v>
      </c>
      <c r="D2" s="4">
        <v>0</v>
      </c>
      <c r="E2" s="4">
        <v>0.56100000000000005</v>
      </c>
      <c r="F2" s="4">
        <v>0.5</v>
      </c>
      <c r="G2" s="4">
        <v>0.38</v>
      </c>
      <c r="H2" s="4">
        <v>0</v>
      </c>
      <c r="I2" s="4">
        <v>1</v>
      </c>
    </row>
    <row r="3" spans="1:9" x14ac:dyDescent="0.2">
      <c r="A3" s="4" t="s">
        <v>9</v>
      </c>
      <c r="B3" s="4" t="s">
        <v>11</v>
      </c>
      <c r="C3" s="4">
        <v>214</v>
      </c>
      <c r="D3" s="4">
        <v>25</v>
      </c>
      <c r="E3" s="4">
        <v>0.60699999999999998</v>
      </c>
      <c r="F3" s="4">
        <v>1</v>
      </c>
      <c r="G3" s="4">
        <v>0.48899999999999999</v>
      </c>
      <c r="H3" s="4">
        <v>0</v>
      </c>
      <c r="I3" s="4">
        <v>1</v>
      </c>
    </row>
    <row r="4" spans="1:9" x14ac:dyDescent="0.2">
      <c r="A4" s="4" t="s">
        <v>9</v>
      </c>
      <c r="B4" s="4" t="s">
        <v>12</v>
      </c>
      <c r="C4" s="4">
        <v>239</v>
      </c>
      <c r="D4" s="4">
        <v>0</v>
      </c>
      <c r="E4" s="4">
        <v>0.317</v>
      </c>
      <c r="F4" s="4">
        <v>0.27800000000000002</v>
      </c>
      <c r="G4" s="4">
        <v>0.23</v>
      </c>
      <c r="H4" s="4">
        <v>0</v>
      </c>
      <c r="I4" s="4">
        <v>1</v>
      </c>
    </row>
    <row r="5" spans="1:9" x14ac:dyDescent="0.2">
      <c r="A5" s="4" t="s">
        <v>9</v>
      </c>
      <c r="B5" s="4" t="s">
        <v>13</v>
      </c>
      <c r="C5" s="4">
        <v>239</v>
      </c>
      <c r="D5" s="4">
        <v>0</v>
      </c>
      <c r="E5" s="4">
        <v>0.28499999999999998</v>
      </c>
      <c r="F5" s="4">
        <v>0.33300000000000002</v>
      </c>
      <c r="G5" s="4">
        <v>0.30299999999999999</v>
      </c>
      <c r="H5" s="4">
        <v>0</v>
      </c>
      <c r="I5" s="4">
        <v>1</v>
      </c>
    </row>
    <row r="6" spans="1:9" x14ac:dyDescent="0.2">
      <c r="A6" s="4" t="s">
        <v>9</v>
      </c>
      <c r="B6" s="4" t="s">
        <v>14</v>
      </c>
      <c r="C6" s="4">
        <v>239</v>
      </c>
      <c r="D6" s="4">
        <v>0</v>
      </c>
      <c r="E6" s="4">
        <v>0.33300000000000002</v>
      </c>
      <c r="F6" s="4">
        <v>0.375</v>
      </c>
      <c r="G6" s="4">
        <v>0.26300000000000001</v>
      </c>
      <c r="H6" s="4">
        <v>0</v>
      </c>
      <c r="I6" s="4">
        <v>1</v>
      </c>
    </row>
    <row r="7" spans="1:9" x14ac:dyDescent="0.2">
      <c r="A7" s="4" t="s">
        <v>9</v>
      </c>
      <c r="B7" s="4" t="s">
        <v>15</v>
      </c>
      <c r="C7" s="4">
        <v>236</v>
      </c>
      <c r="D7" s="4">
        <v>3</v>
      </c>
      <c r="E7" s="4">
        <v>0.63600000000000001</v>
      </c>
      <c r="F7" s="4">
        <v>1</v>
      </c>
      <c r="G7" s="4">
        <v>0.48199999999999998</v>
      </c>
      <c r="H7" s="4">
        <v>0</v>
      </c>
      <c r="I7" s="4">
        <v>1</v>
      </c>
    </row>
    <row r="8" spans="1:9" x14ac:dyDescent="0.2">
      <c r="A8" s="4" t="s">
        <v>9</v>
      </c>
      <c r="B8" s="4" t="s">
        <v>16</v>
      </c>
      <c r="C8" s="4">
        <v>225</v>
      </c>
      <c r="D8" s="4">
        <v>14</v>
      </c>
      <c r="E8" s="4">
        <v>0.58899999999999997</v>
      </c>
      <c r="F8" s="4">
        <v>0.5</v>
      </c>
      <c r="G8" s="4">
        <v>0.37</v>
      </c>
      <c r="H8" s="4">
        <v>0</v>
      </c>
      <c r="I8" s="4">
        <v>1</v>
      </c>
    </row>
    <row r="9" spans="1:9" x14ac:dyDescent="0.2">
      <c r="A9" s="4" t="s">
        <v>9</v>
      </c>
      <c r="B9" s="4" t="s">
        <v>17</v>
      </c>
      <c r="C9" s="4">
        <v>223</v>
      </c>
      <c r="D9" s="4">
        <v>16</v>
      </c>
      <c r="E9" s="4">
        <v>0.63600000000000001</v>
      </c>
      <c r="F9" s="4">
        <v>0.75</v>
      </c>
      <c r="G9" s="4">
        <v>0.19700000000000001</v>
      </c>
      <c r="H9" s="4">
        <v>0</v>
      </c>
      <c r="I9" s="4">
        <v>1</v>
      </c>
    </row>
    <row r="10" spans="1:9" x14ac:dyDescent="0.2">
      <c r="A10" s="4" t="s">
        <v>18</v>
      </c>
      <c r="B10" s="4" t="s">
        <v>10</v>
      </c>
      <c r="C10" s="4">
        <v>154</v>
      </c>
      <c r="D10" s="4">
        <v>1</v>
      </c>
      <c r="E10" s="4">
        <v>0.78800000000000003</v>
      </c>
      <c r="F10" s="4">
        <v>1</v>
      </c>
      <c r="G10" s="4">
        <v>0.31</v>
      </c>
      <c r="H10" s="4">
        <v>0</v>
      </c>
      <c r="I10" s="4">
        <v>1</v>
      </c>
    </row>
    <row r="11" spans="1:9" x14ac:dyDescent="0.2">
      <c r="A11" s="4" t="s">
        <v>18</v>
      </c>
      <c r="B11" s="4" t="s">
        <v>11</v>
      </c>
      <c r="C11" s="4">
        <v>116</v>
      </c>
      <c r="D11" s="4">
        <v>39</v>
      </c>
      <c r="E11" s="4">
        <v>0.19800000000000001</v>
      </c>
      <c r="F11" s="4">
        <v>0</v>
      </c>
      <c r="G11" s="4">
        <v>0.25600000000000001</v>
      </c>
      <c r="H11" s="4">
        <v>0</v>
      </c>
      <c r="I11" s="4">
        <v>1</v>
      </c>
    </row>
    <row r="12" spans="1:9" x14ac:dyDescent="0.2">
      <c r="A12" s="4" t="s">
        <v>18</v>
      </c>
      <c r="B12" s="4" t="s">
        <v>12</v>
      </c>
      <c r="C12" s="4">
        <v>119</v>
      </c>
      <c r="D12" s="4">
        <v>36</v>
      </c>
      <c r="E12" s="4">
        <v>0.255</v>
      </c>
      <c r="F12" s="4">
        <v>0.16700000000000001</v>
      </c>
      <c r="G12" s="4">
        <v>0.30099999999999999</v>
      </c>
      <c r="H12" s="4">
        <v>0</v>
      </c>
      <c r="I12" s="4">
        <v>1</v>
      </c>
    </row>
    <row r="13" spans="1:9" x14ac:dyDescent="0.2">
      <c r="A13" s="4" t="s">
        <v>18</v>
      </c>
      <c r="B13" s="4" t="s">
        <v>17</v>
      </c>
      <c r="C13" s="4">
        <v>90</v>
      </c>
      <c r="D13" s="4">
        <v>65</v>
      </c>
      <c r="E13" s="4">
        <v>0.33300000000000002</v>
      </c>
      <c r="F13" s="4">
        <v>0</v>
      </c>
      <c r="G13" s="4">
        <v>0.41699999999999998</v>
      </c>
      <c r="H13" s="4">
        <v>0</v>
      </c>
      <c r="I13" s="4">
        <v>1</v>
      </c>
    </row>
    <row r="14" spans="1:9" x14ac:dyDescent="0.2">
      <c r="A14" s="4" t="s">
        <v>19</v>
      </c>
      <c r="B14" s="4" t="s">
        <v>20</v>
      </c>
      <c r="C14" s="4">
        <v>314</v>
      </c>
      <c r="D14" s="4">
        <v>2</v>
      </c>
      <c r="E14" s="4">
        <v>0.35699999999999998</v>
      </c>
      <c r="F14" s="4">
        <v>0.21</v>
      </c>
      <c r="G14" s="4">
        <v>0.29899999999999999</v>
      </c>
      <c r="H14" s="4">
        <v>0</v>
      </c>
      <c r="I14" s="4">
        <v>1</v>
      </c>
    </row>
    <row r="15" spans="1:9" x14ac:dyDescent="0.2">
      <c r="A15" s="4" t="s">
        <v>19</v>
      </c>
      <c r="B15" s="4" t="s">
        <v>11</v>
      </c>
      <c r="C15" s="4">
        <v>222</v>
      </c>
      <c r="D15" s="4">
        <v>94</v>
      </c>
      <c r="E15" s="4">
        <v>0.39200000000000002</v>
      </c>
      <c r="F15" s="4">
        <v>0</v>
      </c>
      <c r="G15" s="4">
        <v>0.48899999999999999</v>
      </c>
      <c r="H15" s="4">
        <v>0</v>
      </c>
      <c r="I15" s="4">
        <v>1</v>
      </c>
    </row>
    <row r="16" spans="1:9" x14ac:dyDescent="0.2">
      <c r="A16" s="4" t="s">
        <v>19</v>
      </c>
      <c r="B16" s="4" t="s">
        <v>14</v>
      </c>
      <c r="C16" s="4">
        <v>311</v>
      </c>
      <c r="D16" s="4">
        <v>5</v>
      </c>
      <c r="E16" s="4">
        <v>0.622</v>
      </c>
      <c r="F16" s="4">
        <v>0.75</v>
      </c>
      <c r="G16" s="4">
        <v>0.3</v>
      </c>
      <c r="H16" s="4">
        <v>0</v>
      </c>
      <c r="I16" s="4">
        <v>1</v>
      </c>
    </row>
    <row r="17" spans="1:9" x14ac:dyDescent="0.2">
      <c r="A17" s="4" t="s">
        <v>19</v>
      </c>
      <c r="B17" s="4" t="s">
        <v>15</v>
      </c>
      <c r="C17" s="4">
        <v>311</v>
      </c>
      <c r="D17" s="4">
        <v>5</v>
      </c>
      <c r="E17" s="4">
        <v>0.622</v>
      </c>
      <c r="F17" s="4">
        <v>0.75</v>
      </c>
      <c r="G17" s="4">
        <v>0.3</v>
      </c>
      <c r="H17" s="4">
        <v>0</v>
      </c>
      <c r="I17" s="4">
        <v>1</v>
      </c>
    </row>
    <row r="18" spans="1:9" x14ac:dyDescent="0.2">
      <c r="A18" s="4" t="s">
        <v>19</v>
      </c>
      <c r="B18" s="4" t="s">
        <v>16</v>
      </c>
      <c r="C18" s="4">
        <v>214</v>
      </c>
      <c r="D18" s="4">
        <v>102</v>
      </c>
      <c r="E18" s="4">
        <v>0.54700000000000004</v>
      </c>
      <c r="F18" s="4">
        <v>1</v>
      </c>
      <c r="G18" s="4">
        <v>0.499</v>
      </c>
      <c r="H18" s="4">
        <v>0</v>
      </c>
      <c r="I18" s="4">
        <v>1</v>
      </c>
    </row>
    <row r="19" spans="1:9" x14ac:dyDescent="0.2">
      <c r="A19" s="4" t="s">
        <v>19</v>
      </c>
      <c r="B19" s="4" t="s">
        <v>17</v>
      </c>
      <c r="C19" s="4">
        <v>309</v>
      </c>
      <c r="D19" s="4">
        <v>7</v>
      </c>
      <c r="E19" s="4">
        <v>0.218</v>
      </c>
      <c r="F19" s="4">
        <v>0</v>
      </c>
      <c r="G19" s="4">
        <v>0.30199999999999999</v>
      </c>
      <c r="H19" s="4">
        <v>0</v>
      </c>
      <c r="I19" s="4">
        <v>1</v>
      </c>
    </row>
    <row r="20" spans="1:9" x14ac:dyDescent="0.2">
      <c r="A20" s="4" t="s">
        <v>21</v>
      </c>
      <c r="B20" s="4" t="s">
        <v>11</v>
      </c>
      <c r="C20" s="4">
        <v>285</v>
      </c>
      <c r="D20" s="4">
        <v>18</v>
      </c>
      <c r="E20" s="4">
        <v>0.371</v>
      </c>
      <c r="F20" s="4">
        <v>0.375</v>
      </c>
      <c r="G20" s="4">
        <v>0.32600000000000001</v>
      </c>
      <c r="H20" s="4">
        <v>0</v>
      </c>
      <c r="I20" s="4">
        <v>1</v>
      </c>
    </row>
    <row r="21" spans="1:9" x14ac:dyDescent="0.2">
      <c r="A21" s="4" t="s">
        <v>21</v>
      </c>
      <c r="B21" s="4" t="s">
        <v>22</v>
      </c>
      <c r="C21" s="4">
        <v>294</v>
      </c>
      <c r="D21" s="4">
        <v>9</v>
      </c>
      <c r="E21" s="4">
        <v>0.22800000000000001</v>
      </c>
      <c r="F21" s="4">
        <v>0</v>
      </c>
      <c r="G21" s="4">
        <v>0.42</v>
      </c>
      <c r="H21" s="4">
        <v>0</v>
      </c>
      <c r="I21" s="4">
        <v>1</v>
      </c>
    </row>
    <row r="26" spans="1:9" x14ac:dyDescent="0.2">
      <c r="A26" s="3" t="s">
        <v>0</v>
      </c>
      <c r="B26" s="3" t="s">
        <v>1</v>
      </c>
      <c r="C26" s="3" t="s">
        <v>2</v>
      </c>
      <c r="D26" s="3" t="s">
        <v>3</v>
      </c>
      <c r="E26" s="3" t="s">
        <v>4</v>
      </c>
      <c r="F26" s="3" t="s">
        <v>5</v>
      </c>
      <c r="G26" s="3" t="s">
        <v>6</v>
      </c>
    </row>
    <row r="27" spans="1:9" x14ac:dyDescent="0.2">
      <c r="A27" s="4" t="s">
        <v>9</v>
      </c>
      <c r="B27" s="4" t="s">
        <v>10</v>
      </c>
      <c r="C27" s="4">
        <v>239</v>
      </c>
      <c r="D27" s="4">
        <v>0</v>
      </c>
      <c r="E27" s="4">
        <v>0.56100000000000005</v>
      </c>
      <c r="F27" s="4">
        <v>0.5</v>
      </c>
      <c r="G27" s="4">
        <v>0.38</v>
      </c>
    </row>
    <row r="28" spans="1:9" x14ac:dyDescent="0.2">
      <c r="A28" s="4" t="s">
        <v>9</v>
      </c>
      <c r="B28" s="4" t="s">
        <v>11</v>
      </c>
      <c r="C28" s="4">
        <v>214</v>
      </c>
      <c r="D28" s="4">
        <v>25</v>
      </c>
      <c r="E28" s="4">
        <v>0.60699999999999998</v>
      </c>
      <c r="F28" s="4">
        <v>1</v>
      </c>
      <c r="G28" s="4">
        <v>0.48899999999999999</v>
      </c>
    </row>
    <row r="29" spans="1:9" x14ac:dyDescent="0.2">
      <c r="A29" s="4" t="s">
        <v>9</v>
      </c>
      <c r="B29" s="4" t="s">
        <v>12</v>
      </c>
      <c r="C29" s="4">
        <v>239</v>
      </c>
      <c r="D29" s="4">
        <v>0</v>
      </c>
      <c r="E29" s="4">
        <v>0.317</v>
      </c>
      <c r="F29" s="4">
        <v>0.27800000000000002</v>
      </c>
      <c r="G29" s="4">
        <v>0.23</v>
      </c>
    </row>
    <row r="30" spans="1:9" x14ac:dyDescent="0.2">
      <c r="A30" s="4" t="s">
        <v>9</v>
      </c>
      <c r="B30" s="4" t="s">
        <v>13</v>
      </c>
      <c r="C30" s="4">
        <v>239</v>
      </c>
      <c r="D30" s="4">
        <v>0</v>
      </c>
      <c r="E30" s="4">
        <v>0.28499999999999998</v>
      </c>
      <c r="F30" s="4">
        <v>0.33300000000000002</v>
      </c>
      <c r="G30" s="4">
        <v>0.30299999999999999</v>
      </c>
    </row>
    <row r="31" spans="1:9" x14ac:dyDescent="0.2">
      <c r="A31" s="4" t="s">
        <v>9</v>
      </c>
      <c r="B31" s="4" t="s">
        <v>14</v>
      </c>
      <c r="C31" s="4">
        <v>239</v>
      </c>
      <c r="D31" s="4">
        <v>0</v>
      </c>
      <c r="E31" s="4">
        <v>0.33300000000000002</v>
      </c>
      <c r="F31" s="4">
        <v>0.375</v>
      </c>
      <c r="G31" s="4">
        <v>0.26300000000000001</v>
      </c>
    </row>
    <row r="32" spans="1:9" x14ac:dyDescent="0.2">
      <c r="A32" s="4" t="s">
        <v>9</v>
      </c>
      <c r="B32" s="4" t="s">
        <v>15</v>
      </c>
      <c r="C32" s="4">
        <v>236</v>
      </c>
      <c r="D32" s="4">
        <v>3</v>
      </c>
      <c r="E32" s="4">
        <v>0.63600000000000001</v>
      </c>
      <c r="F32" s="4">
        <v>1</v>
      </c>
      <c r="G32" s="4">
        <v>0.48199999999999998</v>
      </c>
    </row>
    <row r="33" spans="1:7" x14ac:dyDescent="0.2">
      <c r="A33" s="4" t="s">
        <v>9</v>
      </c>
      <c r="B33" s="4" t="s">
        <v>16</v>
      </c>
      <c r="C33" s="4">
        <v>225</v>
      </c>
      <c r="D33" s="4">
        <v>14</v>
      </c>
      <c r="E33" s="4">
        <v>0.58899999999999997</v>
      </c>
      <c r="F33" s="4">
        <v>0.5</v>
      </c>
      <c r="G33" s="4">
        <v>0.37</v>
      </c>
    </row>
    <row r="34" spans="1:7" x14ac:dyDescent="0.2">
      <c r="A34" s="4" t="s">
        <v>9</v>
      </c>
      <c r="B34" s="4" t="s">
        <v>17</v>
      </c>
      <c r="C34" s="4">
        <v>223</v>
      </c>
      <c r="D34" s="4">
        <v>16</v>
      </c>
      <c r="E34" s="4">
        <v>0.63600000000000001</v>
      </c>
      <c r="F34" s="4">
        <v>0.75</v>
      </c>
      <c r="G34" s="4">
        <v>0.19700000000000001</v>
      </c>
    </row>
    <row r="35" spans="1:7" x14ac:dyDescent="0.2">
      <c r="A35" s="4" t="s">
        <v>18</v>
      </c>
      <c r="B35" s="4" t="s">
        <v>10</v>
      </c>
      <c r="C35" s="4">
        <v>154</v>
      </c>
      <c r="D35" s="4">
        <v>1</v>
      </c>
      <c r="E35" s="4">
        <v>0.78800000000000003</v>
      </c>
      <c r="F35" s="4">
        <v>1</v>
      </c>
      <c r="G35" s="4">
        <v>0.31</v>
      </c>
    </row>
    <row r="36" spans="1:7" x14ac:dyDescent="0.2">
      <c r="A36" s="4" t="s">
        <v>18</v>
      </c>
      <c r="B36" s="4" t="s">
        <v>11</v>
      </c>
      <c r="C36" s="4">
        <v>116</v>
      </c>
      <c r="D36" s="4">
        <v>39</v>
      </c>
      <c r="E36" s="4">
        <v>0.19800000000000001</v>
      </c>
      <c r="F36" s="4">
        <v>0</v>
      </c>
      <c r="G36" s="4">
        <v>0.25600000000000001</v>
      </c>
    </row>
    <row r="37" spans="1:7" x14ac:dyDescent="0.2">
      <c r="A37" s="4" t="s">
        <v>18</v>
      </c>
      <c r="B37" s="4" t="s">
        <v>12</v>
      </c>
      <c r="C37" s="4">
        <v>119</v>
      </c>
      <c r="D37" s="4">
        <v>36</v>
      </c>
      <c r="E37" s="4">
        <v>0.255</v>
      </c>
      <c r="F37" s="4">
        <v>0.16700000000000001</v>
      </c>
      <c r="G37" s="4">
        <v>0.30099999999999999</v>
      </c>
    </row>
    <row r="38" spans="1:7" x14ac:dyDescent="0.2">
      <c r="A38" s="4" t="s">
        <v>18</v>
      </c>
      <c r="B38" s="4" t="s">
        <v>17</v>
      </c>
      <c r="C38" s="4">
        <v>90</v>
      </c>
      <c r="D38" s="4">
        <v>65</v>
      </c>
      <c r="E38" s="4">
        <v>0.33300000000000002</v>
      </c>
      <c r="F38" s="4">
        <v>0</v>
      </c>
      <c r="G38" s="4">
        <v>0.41699999999999998</v>
      </c>
    </row>
    <row r="39" spans="1:7" x14ac:dyDescent="0.2">
      <c r="A39" s="4" t="s">
        <v>19</v>
      </c>
      <c r="B39" s="4" t="s">
        <v>20</v>
      </c>
      <c r="C39" s="4">
        <v>314</v>
      </c>
      <c r="D39" s="4">
        <v>2</v>
      </c>
      <c r="E39" s="4">
        <v>0.35699999999999998</v>
      </c>
      <c r="F39" s="4">
        <v>0.21</v>
      </c>
      <c r="G39" s="4">
        <v>0.29899999999999999</v>
      </c>
    </row>
    <row r="40" spans="1:7" x14ac:dyDescent="0.2">
      <c r="A40" s="4" t="s">
        <v>19</v>
      </c>
      <c r="B40" s="4" t="s">
        <v>11</v>
      </c>
      <c r="C40" s="4">
        <v>222</v>
      </c>
      <c r="D40" s="4">
        <v>94</v>
      </c>
      <c r="E40" s="4">
        <v>0.39200000000000002</v>
      </c>
      <c r="F40" s="4">
        <v>0</v>
      </c>
      <c r="G40" s="4">
        <v>0.48899999999999999</v>
      </c>
    </row>
    <row r="41" spans="1:7" x14ac:dyDescent="0.2">
      <c r="A41" s="4" t="s">
        <v>19</v>
      </c>
      <c r="B41" s="4" t="s">
        <v>14</v>
      </c>
      <c r="C41" s="4">
        <v>311</v>
      </c>
      <c r="D41" s="4">
        <v>5</v>
      </c>
      <c r="E41" s="4">
        <v>0.622</v>
      </c>
      <c r="F41" s="4">
        <v>0.75</v>
      </c>
      <c r="G41" s="4">
        <v>0.3</v>
      </c>
    </row>
    <row r="42" spans="1:7" x14ac:dyDescent="0.2">
      <c r="A42" s="4" t="s">
        <v>19</v>
      </c>
      <c r="B42" s="4" t="s">
        <v>15</v>
      </c>
      <c r="C42" s="4">
        <v>311</v>
      </c>
      <c r="D42" s="4">
        <v>5</v>
      </c>
      <c r="E42" s="4">
        <v>0.622</v>
      </c>
      <c r="F42" s="4">
        <v>0.75</v>
      </c>
      <c r="G42" s="4">
        <v>0.3</v>
      </c>
    </row>
    <row r="43" spans="1:7" x14ac:dyDescent="0.2">
      <c r="A43" s="4" t="s">
        <v>19</v>
      </c>
      <c r="B43" s="4" t="s">
        <v>16</v>
      </c>
      <c r="C43" s="4">
        <v>214</v>
      </c>
      <c r="D43" s="4">
        <v>102</v>
      </c>
      <c r="E43" s="4">
        <v>0.54700000000000004</v>
      </c>
      <c r="F43" s="4">
        <v>1</v>
      </c>
      <c r="G43" s="4">
        <v>0.499</v>
      </c>
    </row>
    <row r="44" spans="1:7" x14ac:dyDescent="0.2">
      <c r="A44" s="4" t="s">
        <v>19</v>
      </c>
      <c r="B44" s="4" t="s">
        <v>17</v>
      </c>
      <c r="C44" s="4">
        <v>309</v>
      </c>
      <c r="D44" s="4">
        <v>7</v>
      </c>
      <c r="E44" s="4">
        <v>0.218</v>
      </c>
      <c r="F44" s="4">
        <v>0</v>
      </c>
      <c r="G44" s="4">
        <v>0.30199999999999999</v>
      </c>
    </row>
    <row r="45" spans="1:7" x14ac:dyDescent="0.2">
      <c r="A45" s="4" t="s">
        <v>21</v>
      </c>
      <c r="B45" s="4" t="s">
        <v>11</v>
      </c>
      <c r="C45" s="4">
        <v>285</v>
      </c>
      <c r="D45" s="4">
        <v>18</v>
      </c>
      <c r="E45" s="4">
        <v>0.371</v>
      </c>
      <c r="F45" s="4">
        <v>0.375</v>
      </c>
      <c r="G45" s="4">
        <v>0.32600000000000001</v>
      </c>
    </row>
    <row r="46" spans="1:7" x14ac:dyDescent="0.2">
      <c r="A46" s="4" t="s">
        <v>21</v>
      </c>
      <c r="B46" s="4" t="s">
        <v>22</v>
      </c>
      <c r="C46" s="4">
        <v>294</v>
      </c>
      <c r="D46" s="4">
        <v>9</v>
      </c>
      <c r="E46" s="4">
        <v>0.22800000000000001</v>
      </c>
      <c r="F46" s="4">
        <v>0</v>
      </c>
      <c r="G46" s="4">
        <v>0.42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D30" sqref="D30"/>
    </sheetView>
  </sheetViews>
  <sheetFormatPr baseColWidth="10" defaultColWidth="8.83203125" defaultRowHeight="15" x14ac:dyDescent="0.2"/>
  <cols>
    <col min="1" max="3" width="21.83203125" customWidth="1"/>
    <col min="4" max="4" width="52.1640625" customWidth="1"/>
    <col min="5" max="6" width="21.83203125" customWidth="1"/>
    <col min="8" max="8" width="8.83203125" style="4"/>
    <col min="9" max="9" width="23.83203125" style="4" bestFit="1" customWidth="1"/>
    <col min="10" max="10" width="21.83203125" customWidth="1"/>
    <col min="11" max="11" width="14.5" style="4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26</v>
      </c>
      <c r="H1" s="6" t="s">
        <v>0</v>
      </c>
      <c r="I1" s="6" t="s">
        <v>1</v>
      </c>
      <c r="J1" s="1" t="s">
        <v>23</v>
      </c>
      <c r="K1" s="6" t="s">
        <v>26</v>
      </c>
    </row>
    <row r="2" spans="1:11" x14ac:dyDescent="0.2">
      <c r="A2" t="s">
        <v>9</v>
      </c>
      <c r="B2" t="s">
        <v>12</v>
      </c>
      <c r="C2">
        <v>3</v>
      </c>
      <c r="D2" t="s">
        <v>27</v>
      </c>
      <c r="E2">
        <v>197</v>
      </c>
      <c r="F2">
        <v>7.9000000000000001E-2</v>
      </c>
      <c r="H2" s="4" t="s">
        <v>9</v>
      </c>
      <c r="I2" s="4" t="s">
        <v>12</v>
      </c>
      <c r="J2">
        <v>3</v>
      </c>
      <c r="K2" s="7">
        <v>7.9000000000000001E-2</v>
      </c>
    </row>
    <row r="3" spans="1:11" x14ac:dyDescent="0.2">
      <c r="A3" t="s">
        <v>9</v>
      </c>
      <c r="B3" t="s">
        <v>13</v>
      </c>
      <c r="C3">
        <v>3</v>
      </c>
      <c r="D3" t="s">
        <v>28</v>
      </c>
      <c r="E3">
        <v>178</v>
      </c>
      <c r="F3">
        <v>0.35</v>
      </c>
      <c r="H3" s="4" t="s">
        <v>9</v>
      </c>
      <c r="I3" s="4" t="s">
        <v>13</v>
      </c>
      <c r="J3">
        <v>3</v>
      </c>
      <c r="K3" s="7">
        <v>0.35</v>
      </c>
    </row>
    <row r="4" spans="1:11" x14ac:dyDescent="0.2">
      <c r="A4" t="s">
        <v>9</v>
      </c>
      <c r="B4" t="s">
        <v>10</v>
      </c>
      <c r="C4">
        <v>2</v>
      </c>
      <c r="D4" t="s">
        <v>29</v>
      </c>
      <c r="E4">
        <v>222</v>
      </c>
      <c r="F4">
        <v>0.217</v>
      </c>
      <c r="H4" s="4" t="s">
        <v>9</v>
      </c>
      <c r="I4" s="4" t="s">
        <v>10</v>
      </c>
      <c r="J4">
        <v>2</v>
      </c>
      <c r="K4" s="7">
        <v>0.217</v>
      </c>
    </row>
    <row r="5" spans="1:11" x14ac:dyDescent="0.2">
      <c r="A5" t="s">
        <v>9</v>
      </c>
      <c r="B5" t="s">
        <v>11</v>
      </c>
      <c r="C5">
        <v>1</v>
      </c>
      <c r="D5" t="s">
        <v>30</v>
      </c>
      <c r="H5" s="4" t="s">
        <v>9</v>
      </c>
      <c r="I5" s="4" t="s">
        <v>11</v>
      </c>
      <c r="J5">
        <v>1</v>
      </c>
      <c r="K5" s="7" t="s">
        <v>60</v>
      </c>
    </row>
    <row r="6" spans="1:11" x14ac:dyDescent="0.2">
      <c r="A6" t="s">
        <v>9</v>
      </c>
      <c r="B6" t="s">
        <v>14</v>
      </c>
      <c r="C6">
        <v>2</v>
      </c>
      <c r="D6" t="s">
        <v>31</v>
      </c>
      <c r="E6">
        <v>189</v>
      </c>
      <c r="F6">
        <v>0.46600000000000003</v>
      </c>
      <c r="H6" s="4" t="s">
        <v>9</v>
      </c>
      <c r="I6" s="4" t="s">
        <v>14</v>
      </c>
      <c r="J6">
        <v>2</v>
      </c>
      <c r="K6" s="7">
        <v>0.46600000000000003</v>
      </c>
    </row>
    <row r="7" spans="1:11" x14ac:dyDescent="0.2">
      <c r="A7" t="s">
        <v>9</v>
      </c>
      <c r="B7" t="s">
        <v>15</v>
      </c>
      <c r="C7">
        <v>1</v>
      </c>
      <c r="D7" t="s">
        <v>32</v>
      </c>
      <c r="H7" s="4" t="s">
        <v>9</v>
      </c>
      <c r="I7" s="4" t="s">
        <v>15</v>
      </c>
      <c r="J7">
        <v>1</v>
      </c>
      <c r="K7" s="7" t="s">
        <v>60</v>
      </c>
    </row>
    <row r="8" spans="1:11" x14ac:dyDescent="0.2">
      <c r="A8" t="s">
        <v>9</v>
      </c>
      <c r="B8" t="s">
        <v>16</v>
      </c>
      <c r="C8">
        <v>2</v>
      </c>
      <c r="D8" t="s">
        <v>33</v>
      </c>
      <c r="E8">
        <v>0</v>
      </c>
      <c r="H8" s="4" t="s">
        <v>9</v>
      </c>
      <c r="I8" s="4" t="s">
        <v>16</v>
      </c>
      <c r="J8">
        <v>2</v>
      </c>
      <c r="K8" s="7"/>
    </row>
    <row r="9" spans="1:11" x14ac:dyDescent="0.2">
      <c r="A9" t="s">
        <v>9</v>
      </c>
      <c r="B9" t="s">
        <v>17</v>
      </c>
      <c r="C9">
        <v>1</v>
      </c>
      <c r="D9" t="s">
        <v>34</v>
      </c>
      <c r="H9" s="4" t="s">
        <v>9</v>
      </c>
      <c r="I9" s="4" t="s">
        <v>17</v>
      </c>
      <c r="J9">
        <v>1</v>
      </c>
      <c r="K9" s="7" t="s">
        <v>60</v>
      </c>
    </row>
    <row r="10" spans="1:11" x14ac:dyDescent="0.2">
      <c r="A10" t="s">
        <v>18</v>
      </c>
      <c r="B10" t="s">
        <v>12</v>
      </c>
      <c r="C10">
        <v>2</v>
      </c>
      <c r="D10" t="s">
        <v>35</v>
      </c>
      <c r="E10">
        <v>51</v>
      </c>
      <c r="F10">
        <v>0.36799999999999999</v>
      </c>
      <c r="H10" s="4" t="s">
        <v>18</v>
      </c>
      <c r="I10" s="4" t="s">
        <v>12</v>
      </c>
      <c r="J10">
        <v>2</v>
      </c>
      <c r="K10" s="7">
        <v>0.36799999999999999</v>
      </c>
    </row>
    <row r="11" spans="1:11" x14ac:dyDescent="0.2">
      <c r="A11" t="s">
        <v>18</v>
      </c>
      <c r="B11" t="s">
        <v>10</v>
      </c>
      <c r="C11">
        <v>2</v>
      </c>
      <c r="D11" t="s">
        <v>36</v>
      </c>
      <c r="E11">
        <v>143</v>
      </c>
      <c r="F11">
        <v>0.46700000000000003</v>
      </c>
      <c r="H11" s="4" t="s">
        <v>18</v>
      </c>
      <c r="I11" s="4" t="s">
        <v>10</v>
      </c>
      <c r="J11">
        <v>2</v>
      </c>
      <c r="K11" s="7">
        <v>0.46700000000000003</v>
      </c>
    </row>
    <row r="12" spans="1:11" x14ac:dyDescent="0.2">
      <c r="A12" t="s">
        <v>18</v>
      </c>
      <c r="B12" t="s">
        <v>11</v>
      </c>
      <c r="C12">
        <v>1</v>
      </c>
      <c r="D12" t="s">
        <v>37</v>
      </c>
      <c r="H12" s="4" t="s">
        <v>18</v>
      </c>
      <c r="I12" s="4" t="s">
        <v>11</v>
      </c>
      <c r="J12">
        <v>1</v>
      </c>
      <c r="K12" s="7" t="s">
        <v>60</v>
      </c>
    </row>
    <row r="13" spans="1:11" x14ac:dyDescent="0.2">
      <c r="A13" t="s">
        <v>18</v>
      </c>
      <c r="B13" t="s">
        <v>17</v>
      </c>
      <c r="C13">
        <v>2</v>
      </c>
      <c r="D13" t="s">
        <v>38</v>
      </c>
      <c r="E13">
        <v>71</v>
      </c>
      <c r="F13">
        <v>0.61199999999999999</v>
      </c>
      <c r="H13" s="4" t="s">
        <v>18</v>
      </c>
      <c r="I13" s="4" t="s">
        <v>17</v>
      </c>
      <c r="J13">
        <v>2</v>
      </c>
      <c r="K13" s="7">
        <v>0.61199999999999999</v>
      </c>
    </row>
    <row r="14" spans="1:11" x14ac:dyDescent="0.2">
      <c r="A14" t="s">
        <v>19</v>
      </c>
      <c r="B14" t="s">
        <v>20</v>
      </c>
      <c r="C14">
        <v>2</v>
      </c>
      <c r="D14" t="s">
        <v>39</v>
      </c>
      <c r="E14">
        <v>297</v>
      </c>
      <c r="F14">
        <v>0.221</v>
      </c>
      <c r="H14" s="4" t="s">
        <v>19</v>
      </c>
      <c r="I14" s="4" t="s">
        <v>20</v>
      </c>
      <c r="J14">
        <v>2</v>
      </c>
      <c r="K14" s="7">
        <v>0.221</v>
      </c>
    </row>
    <row r="15" spans="1:11" x14ac:dyDescent="0.2">
      <c r="A15" t="s">
        <v>19</v>
      </c>
      <c r="B15" t="s">
        <v>11</v>
      </c>
      <c r="C15">
        <v>1</v>
      </c>
      <c r="D15" t="s">
        <v>40</v>
      </c>
      <c r="H15" s="4" t="s">
        <v>19</v>
      </c>
      <c r="I15" s="4" t="s">
        <v>11</v>
      </c>
      <c r="J15">
        <v>1</v>
      </c>
      <c r="K15" s="7" t="s">
        <v>60</v>
      </c>
    </row>
    <row r="16" spans="1:11" x14ac:dyDescent="0.2">
      <c r="A16" t="s">
        <v>19</v>
      </c>
      <c r="B16" t="s">
        <v>14</v>
      </c>
      <c r="C16">
        <v>2</v>
      </c>
      <c r="D16" t="s">
        <v>41</v>
      </c>
      <c r="E16">
        <v>299</v>
      </c>
      <c r="F16">
        <v>0.39700000000000002</v>
      </c>
      <c r="H16" s="4" t="s">
        <v>19</v>
      </c>
      <c r="I16" s="4" t="s">
        <v>14</v>
      </c>
      <c r="J16">
        <v>2</v>
      </c>
      <c r="K16" s="7">
        <v>0.39700000000000002</v>
      </c>
    </row>
    <row r="17" spans="1:11" x14ac:dyDescent="0.2">
      <c r="A17" t="s">
        <v>19</v>
      </c>
      <c r="B17" t="s">
        <v>15</v>
      </c>
      <c r="C17">
        <v>2</v>
      </c>
      <c r="D17" t="s">
        <v>42</v>
      </c>
      <c r="E17">
        <v>299</v>
      </c>
      <c r="F17">
        <v>0.39700000000000002</v>
      </c>
      <c r="H17" s="4" t="s">
        <v>19</v>
      </c>
      <c r="I17" s="4" t="s">
        <v>15</v>
      </c>
      <c r="J17">
        <v>2</v>
      </c>
      <c r="K17" s="7">
        <v>0.39700000000000002</v>
      </c>
    </row>
    <row r="18" spans="1:11" x14ac:dyDescent="0.2">
      <c r="A18" t="s">
        <v>19</v>
      </c>
      <c r="B18" t="s">
        <v>16</v>
      </c>
      <c r="C18">
        <v>2</v>
      </c>
      <c r="D18" t="s">
        <v>43</v>
      </c>
      <c r="E18">
        <v>0</v>
      </c>
      <c r="H18" s="4" t="s">
        <v>19</v>
      </c>
      <c r="I18" s="4" t="s">
        <v>16</v>
      </c>
      <c r="J18">
        <v>2</v>
      </c>
      <c r="K18" s="7"/>
    </row>
    <row r="19" spans="1:11" x14ac:dyDescent="0.2">
      <c r="A19" t="s">
        <v>19</v>
      </c>
      <c r="B19" t="s">
        <v>17</v>
      </c>
      <c r="C19">
        <v>2</v>
      </c>
      <c r="D19" t="s">
        <v>44</v>
      </c>
      <c r="E19">
        <v>298</v>
      </c>
      <c r="F19">
        <v>0.31</v>
      </c>
      <c r="H19" s="4" t="s">
        <v>19</v>
      </c>
      <c r="I19" s="4" t="s">
        <v>17</v>
      </c>
      <c r="J19">
        <v>2</v>
      </c>
      <c r="K19" s="7">
        <v>0.31</v>
      </c>
    </row>
    <row r="20" spans="1:11" x14ac:dyDescent="0.2">
      <c r="A20" t="s">
        <v>21</v>
      </c>
      <c r="B20" t="s">
        <v>11</v>
      </c>
      <c r="C20">
        <v>1</v>
      </c>
      <c r="D20" t="s">
        <v>45</v>
      </c>
      <c r="H20" s="4" t="s">
        <v>21</v>
      </c>
      <c r="I20" s="4" t="s">
        <v>11</v>
      </c>
      <c r="J20">
        <v>1</v>
      </c>
      <c r="K20" s="7" t="s">
        <v>60</v>
      </c>
    </row>
    <row r="21" spans="1:11" x14ac:dyDescent="0.2">
      <c r="A21" t="s">
        <v>21</v>
      </c>
      <c r="B21" t="s">
        <v>22</v>
      </c>
      <c r="C21">
        <v>1</v>
      </c>
      <c r="D21" t="s">
        <v>22</v>
      </c>
      <c r="H21" s="4" t="s">
        <v>21</v>
      </c>
      <c r="I21" s="4" t="s">
        <v>22</v>
      </c>
      <c r="J21">
        <v>1</v>
      </c>
      <c r="K21" s="7" t="s">
        <v>60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33C9-6E0D-DA45-ADD1-4C69086F0D16}">
  <dimension ref="A1:E15"/>
  <sheetViews>
    <sheetView zoomScale="188" workbookViewId="0">
      <selection activeCell="F14" sqref="F14"/>
    </sheetView>
  </sheetViews>
  <sheetFormatPr baseColWidth="10" defaultRowHeight="15" x14ac:dyDescent="0.2"/>
  <sheetData>
    <row r="1" spans="1:5" x14ac:dyDescent="0.2">
      <c r="A1" s="8" t="s">
        <v>65</v>
      </c>
      <c r="B1" s="8"/>
      <c r="C1" s="8"/>
      <c r="D1" s="8"/>
    </row>
    <row r="2" spans="1:5" x14ac:dyDescent="0.2">
      <c r="A2" t="s">
        <v>64</v>
      </c>
    </row>
    <row r="3" spans="1:5" x14ac:dyDescent="0.2">
      <c r="A3" s="9" t="s">
        <v>73</v>
      </c>
      <c r="B3" s="9" t="s">
        <v>63</v>
      </c>
      <c r="C3" s="9" t="s">
        <v>62</v>
      </c>
      <c r="D3" t="s">
        <v>61</v>
      </c>
    </row>
    <row r="4" spans="1:5" x14ac:dyDescent="0.2">
      <c r="A4">
        <v>26</v>
      </c>
      <c r="B4">
        <v>21</v>
      </c>
      <c r="C4">
        <v>1</v>
      </c>
      <c r="D4">
        <v>0</v>
      </c>
    </row>
    <row r="5" spans="1:5" x14ac:dyDescent="0.2">
      <c r="A5" s="8" t="s">
        <v>66</v>
      </c>
      <c r="B5" s="8"/>
      <c r="C5" s="8"/>
      <c r="D5" s="8"/>
    </row>
    <row r="6" spans="1:5" x14ac:dyDescent="0.2">
      <c r="A6" t="s">
        <v>67</v>
      </c>
      <c r="B6" t="s">
        <v>68</v>
      </c>
      <c r="C6" t="s">
        <v>69</v>
      </c>
      <c r="D6" t="s">
        <v>70</v>
      </c>
    </row>
    <row r="7" spans="1:5" x14ac:dyDescent="0.2">
      <c r="A7">
        <v>35</v>
      </c>
      <c r="B7">
        <v>40</v>
      </c>
      <c r="C7">
        <v>29</v>
      </c>
      <c r="D7">
        <v>4</v>
      </c>
    </row>
    <row r="9" spans="1:5" ht="15" customHeight="1" x14ac:dyDescent="0.2">
      <c r="A9" s="11" t="s">
        <v>71</v>
      </c>
      <c r="B9" s="11"/>
      <c r="C9" s="11"/>
      <c r="D9" s="11"/>
      <c r="E9" s="10"/>
    </row>
    <row r="10" spans="1:5" x14ac:dyDescent="0.2">
      <c r="A10" s="8" t="s">
        <v>72</v>
      </c>
      <c r="B10" s="8"/>
      <c r="C10" s="8"/>
      <c r="D10" s="8"/>
      <c r="E10" s="9"/>
    </row>
    <row r="11" spans="1:5" x14ac:dyDescent="0.2">
      <c r="A11" t="s">
        <v>79</v>
      </c>
      <c r="B11" t="s">
        <v>73</v>
      </c>
      <c r="C11" t="s">
        <v>74</v>
      </c>
      <c r="D11" t="s">
        <v>62</v>
      </c>
    </row>
    <row r="12" spans="1:5" x14ac:dyDescent="0.2">
      <c r="A12">
        <v>86</v>
      </c>
      <c r="B12">
        <v>31</v>
      </c>
      <c r="C12">
        <v>6</v>
      </c>
      <c r="D12">
        <v>34</v>
      </c>
    </row>
    <row r="13" spans="1:5" x14ac:dyDescent="0.2">
      <c r="A13" s="8" t="s">
        <v>75</v>
      </c>
      <c r="B13" s="8"/>
      <c r="C13" s="8"/>
      <c r="D13" s="8"/>
      <c r="E13" s="9"/>
    </row>
    <row r="14" spans="1:5" x14ac:dyDescent="0.2">
      <c r="A14" t="s">
        <v>76</v>
      </c>
      <c r="B14" t="s">
        <v>77</v>
      </c>
      <c r="C14" t="s">
        <v>78</v>
      </c>
      <c r="D14" t="s">
        <v>77</v>
      </c>
    </row>
    <row r="15" spans="1:5" x14ac:dyDescent="0.2">
      <c r="A15">
        <v>51</v>
      </c>
      <c r="B15">
        <v>1</v>
      </c>
      <c r="C15">
        <v>4</v>
      </c>
      <c r="D15">
        <v>10</v>
      </c>
    </row>
  </sheetData>
  <mergeCells count="5">
    <mergeCell ref="A1:D1"/>
    <mergeCell ref="A5:D5"/>
    <mergeCell ref="A9:D9"/>
    <mergeCell ref="A10:D10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9B37-2062-6342-BFFB-0055B0EB0FBC}">
  <dimension ref="A4:F9"/>
  <sheetViews>
    <sheetView tabSelected="1" workbookViewId="0">
      <selection activeCell="U16" sqref="U16"/>
    </sheetView>
  </sheetViews>
  <sheetFormatPr baseColWidth="10" defaultRowHeight="15" x14ac:dyDescent="0.2"/>
  <cols>
    <col min="1" max="1" width="15.83203125" bestFit="1" customWidth="1"/>
    <col min="2" max="2" width="14.83203125" bestFit="1" customWidth="1"/>
    <col min="3" max="3" width="8" bestFit="1" customWidth="1"/>
    <col min="4" max="4" width="6.5" bestFit="1" customWidth="1"/>
    <col min="5" max="5" width="7" bestFit="1" customWidth="1"/>
    <col min="6" max="6" width="10" bestFit="1" customWidth="1"/>
    <col min="7" max="12" width="6.1640625" bestFit="1" customWidth="1"/>
    <col min="13" max="13" width="6.33203125" bestFit="1" customWidth="1"/>
    <col min="14" max="14" width="10" bestFit="1" customWidth="1"/>
  </cols>
  <sheetData>
    <row r="4" spans="1:6" x14ac:dyDescent="0.2">
      <c r="A4" s="12" t="s">
        <v>82</v>
      </c>
      <c r="B4" s="12" t="s">
        <v>83</v>
      </c>
    </row>
    <row r="5" spans="1:6" x14ac:dyDescent="0.2">
      <c r="A5" s="12" t="s">
        <v>80</v>
      </c>
      <c r="B5" t="s">
        <v>18</v>
      </c>
      <c r="C5" t="s">
        <v>9</v>
      </c>
      <c r="D5" t="s">
        <v>19</v>
      </c>
      <c r="E5" t="s">
        <v>21</v>
      </c>
      <c r="F5" t="s">
        <v>81</v>
      </c>
    </row>
    <row r="6" spans="1:6" x14ac:dyDescent="0.2">
      <c r="A6" s="13" t="s">
        <v>47</v>
      </c>
      <c r="B6" s="14">
        <v>0.56200000000000006</v>
      </c>
      <c r="C6" s="14">
        <v>0.57099999999999995</v>
      </c>
      <c r="D6" s="14">
        <v>0.36599999999999999</v>
      </c>
      <c r="E6" s="14">
        <v>0.371</v>
      </c>
      <c r="F6" s="14">
        <v>1.87</v>
      </c>
    </row>
    <row r="7" spans="1:6" x14ac:dyDescent="0.2">
      <c r="A7" s="13" t="s">
        <v>49</v>
      </c>
      <c r="B7" s="14">
        <v>0.255</v>
      </c>
      <c r="C7" s="14">
        <v>0.39200000000000002</v>
      </c>
      <c r="D7" s="14">
        <v>0.622</v>
      </c>
      <c r="E7" s="14"/>
      <c r="F7" s="14">
        <v>1.2690000000000001</v>
      </c>
    </row>
    <row r="8" spans="1:6" x14ac:dyDescent="0.2">
      <c r="A8" s="13" t="s">
        <v>51</v>
      </c>
      <c r="B8" s="14">
        <v>0.33300000000000002</v>
      </c>
      <c r="C8" s="14">
        <v>0.61299999999999999</v>
      </c>
      <c r="D8" s="14">
        <v>0.33100000000000002</v>
      </c>
      <c r="E8" s="14">
        <v>0.22800000000000001</v>
      </c>
      <c r="F8" s="14">
        <v>1.5049999999999999</v>
      </c>
    </row>
    <row r="9" spans="1:6" x14ac:dyDescent="0.2">
      <c r="A9" s="13" t="s">
        <v>81</v>
      </c>
      <c r="B9" s="14">
        <v>1.1500000000000001</v>
      </c>
      <c r="C9" s="14">
        <v>1.5760000000000001</v>
      </c>
      <c r="D9" s="14">
        <v>1.319</v>
      </c>
      <c r="E9" s="14">
        <v>0.59899999999999998</v>
      </c>
      <c r="F9" s="14">
        <v>4.6440000000000001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"/>
  <sheetViews>
    <sheetView workbookViewId="0">
      <selection sqref="A1:G14"/>
    </sheetView>
  </sheetViews>
  <sheetFormatPr baseColWidth="10" defaultColWidth="8.83203125" defaultRowHeight="15" x14ac:dyDescent="0.2"/>
  <cols>
    <col min="2" max="2" width="12.33203125" bestFit="1" customWidth="1"/>
    <col min="3" max="3" width="10.83203125" bestFit="1" customWidth="1"/>
    <col min="4" max="4" width="86.5" bestFit="1" customWidth="1"/>
    <col min="5" max="5" width="13.1640625" bestFit="1" customWidth="1"/>
    <col min="6" max="6" width="10.83203125" bestFit="1" customWidth="1"/>
    <col min="7" max="7" width="6.1640625" bestFit="1" customWidth="1"/>
    <col min="10" max="10" width="12.33203125" bestFit="1" customWidth="1"/>
    <col min="11" max="11" width="10.83203125" bestFit="1" customWidth="1"/>
    <col min="12" max="12" width="13.1640625" bestFit="1" customWidth="1"/>
    <col min="13" max="13" width="10.83203125" bestFit="1" customWidth="1"/>
    <col min="14" max="14" width="6.1640625" bestFit="1" customWidth="1"/>
  </cols>
  <sheetData>
    <row r="1" spans="1:14" s="5" customFormat="1" ht="32" x14ac:dyDescent="0.2">
      <c r="A1" s="5" t="s">
        <v>0</v>
      </c>
      <c r="B1" s="5" t="s">
        <v>46</v>
      </c>
      <c r="C1" s="5" t="s">
        <v>56</v>
      </c>
      <c r="D1" s="5" t="s">
        <v>58</v>
      </c>
      <c r="E1" s="5" t="s">
        <v>57</v>
      </c>
      <c r="F1" s="5" t="s">
        <v>59</v>
      </c>
      <c r="G1" s="5" t="s">
        <v>6</v>
      </c>
      <c r="I1" s="5" t="s">
        <v>0</v>
      </c>
      <c r="J1" s="5" t="s">
        <v>46</v>
      </c>
      <c r="K1" s="5" t="s">
        <v>56</v>
      </c>
      <c r="L1" s="5" t="s">
        <v>57</v>
      </c>
      <c r="M1" s="5" t="s">
        <v>59</v>
      </c>
      <c r="N1" s="5" t="s">
        <v>6</v>
      </c>
    </row>
    <row r="2" spans="1:14" x14ac:dyDescent="0.2">
      <c r="A2" t="s">
        <v>9</v>
      </c>
      <c r="B2" t="s">
        <v>47</v>
      </c>
      <c r="C2">
        <v>2</v>
      </c>
      <c r="D2" t="s">
        <v>48</v>
      </c>
      <c r="E2">
        <v>239</v>
      </c>
      <c r="F2">
        <v>0.57099999999999995</v>
      </c>
      <c r="G2">
        <v>0.33900000000000002</v>
      </c>
      <c r="I2" t="s">
        <v>9</v>
      </c>
      <c r="J2" t="s">
        <v>47</v>
      </c>
      <c r="K2">
        <v>2</v>
      </c>
      <c r="L2">
        <v>239</v>
      </c>
      <c r="M2">
        <v>0.57099999999999995</v>
      </c>
      <c r="N2">
        <v>0.33900000000000002</v>
      </c>
    </row>
    <row r="3" spans="1:14" x14ac:dyDescent="0.2">
      <c r="A3" t="s">
        <v>9</v>
      </c>
      <c r="B3" t="s">
        <v>49</v>
      </c>
      <c r="C3">
        <v>4</v>
      </c>
      <c r="D3" t="s">
        <v>50</v>
      </c>
      <c r="E3">
        <v>239</v>
      </c>
      <c r="F3">
        <v>0.39200000000000002</v>
      </c>
      <c r="G3">
        <v>0.16400000000000001</v>
      </c>
      <c r="I3" t="s">
        <v>9</v>
      </c>
      <c r="J3" t="s">
        <v>49</v>
      </c>
      <c r="K3">
        <v>4</v>
      </c>
      <c r="L3">
        <v>239</v>
      </c>
      <c r="M3">
        <v>0.39200000000000002</v>
      </c>
      <c r="N3">
        <v>0.16400000000000001</v>
      </c>
    </row>
    <row r="4" spans="1:14" x14ac:dyDescent="0.2">
      <c r="A4" t="s">
        <v>9</v>
      </c>
      <c r="B4" t="s">
        <v>51</v>
      </c>
      <c r="C4">
        <v>2</v>
      </c>
      <c r="D4" t="s">
        <v>52</v>
      </c>
      <c r="E4">
        <v>227</v>
      </c>
      <c r="F4">
        <v>0.61299999999999999</v>
      </c>
      <c r="G4">
        <v>0.215</v>
      </c>
      <c r="I4" t="s">
        <v>9</v>
      </c>
      <c r="J4" t="s">
        <v>51</v>
      </c>
      <c r="K4">
        <v>2</v>
      </c>
      <c r="L4">
        <v>227</v>
      </c>
      <c r="M4">
        <v>0.61299999999999999</v>
      </c>
      <c r="N4">
        <v>0.215</v>
      </c>
    </row>
    <row r="5" spans="1:14" x14ac:dyDescent="0.2">
      <c r="A5" t="s">
        <v>18</v>
      </c>
      <c r="B5" t="s">
        <v>47</v>
      </c>
      <c r="C5">
        <v>2</v>
      </c>
      <c r="D5" t="s">
        <v>48</v>
      </c>
      <c r="E5">
        <v>154</v>
      </c>
      <c r="F5">
        <v>0.56200000000000006</v>
      </c>
      <c r="G5">
        <v>0.255</v>
      </c>
      <c r="I5" t="s">
        <v>18</v>
      </c>
      <c r="J5" t="s">
        <v>47</v>
      </c>
      <c r="K5">
        <v>2</v>
      </c>
      <c r="L5">
        <v>154</v>
      </c>
      <c r="M5">
        <v>0.56200000000000006</v>
      </c>
      <c r="N5">
        <v>0.255</v>
      </c>
    </row>
    <row r="6" spans="1:14" x14ac:dyDescent="0.2">
      <c r="A6" t="s">
        <v>18</v>
      </c>
      <c r="B6" t="s">
        <v>49</v>
      </c>
      <c r="C6">
        <v>1</v>
      </c>
      <c r="D6" t="s">
        <v>12</v>
      </c>
      <c r="E6">
        <v>119</v>
      </c>
      <c r="F6">
        <v>0.255</v>
      </c>
      <c r="G6">
        <v>0.30099999999999999</v>
      </c>
      <c r="I6" t="s">
        <v>18</v>
      </c>
      <c r="J6" t="s">
        <v>49</v>
      </c>
      <c r="K6">
        <v>1</v>
      </c>
      <c r="L6">
        <v>119</v>
      </c>
      <c r="M6">
        <v>0.255</v>
      </c>
      <c r="N6">
        <v>0.30099999999999999</v>
      </c>
    </row>
    <row r="7" spans="1:14" x14ac:dyDescent="0.2">
      <c r="A7" t="s">
        <v>18</v>
      </c>
      <c r="B7" t="s">
        <v>51</v>
      </c>
      <c r="C7">
        <v>1</v>
      </c>
      <c r="D7" t="s">
        <v>17</v>
      </c>
      <c r="E7">
        <v>90</v>
      </c>
      <c r="F7">
        <v>0.33300000000000002</v>
      </c>
      <c r="G7">
        <v>0.41699999999999998</v>
      </c>
      <c r="I7" t="s">
        <v>18</v>
      </c>
      <c r="J7" t="s">
        <v>51</v>
      </c>
      <c r="K7">
        <v>1</v>
      </c>
      <c r="L7">
        <v>90</v>
      </c>
      <c r="M7">
        <v>0.33300000000000002</v>
      </c>
      <c r="N7">
        <v>0.41699999999999998</v>
      </c>
    </row>
    <row r="8" spans="1:14" x14ac:dyDescent="0.2">
      <c r="A8" t="s">
        <v>19</v>
      </c>
      <c r="B8" t="s">
        <v>47</v>
      </c>
      <c r="C8">
        <v>2</v>
      </c>
      <c r="D8" t="s">
        <v>53</v>
      </c>
      <c r="E8">
        <v>315</v>
      </c>
      <c r="F8">
        <v>0.36599999999999999</v>
      </c>
      <c r="G8">
        <v>0.29699999999999999</v>
      </c>
      <c r="I8" t="s">
        <v>19</v>
      </c>
      <c r="J8" t="s">
        <v>47</v>
      </c>
      <c r="K8">
        <v>2</v>
      </c>
      <c r="L8">
        <v>315</v>
      </c>
      <c r="M8">
        <v>0.36599999999999999</v>
      </c>
      <c r="N8">
        <v>0.29699999999999999</v>
      </c>
    </row>
    <row r="9" spans="1:14" x14ac:dyDescent="0.2">
      <c r="A9" t="s">
        <v>19</v>
      </c>
      <c r="B9" t="s">
        <v>49</v>
      </c>
      <c r="C9">
        <v>2</v>
      </c>
      <c r="D9" t="s">
        <v>54</v>
      </c>
      <c r="E9">
        <v>311</v>
      </c>
      <c r="F9">
        <v>0.622</v>
      </c>
      <c r="G9">
        <v>0.3</v>
      </c>
      <c r="I9" t="s">
        <v>19</v>
      </c>
      <c r="J9" t="s">
        <v>49</v>
      </c>
      <c r="K9">
        <v>2</v>
      </c>
      <c r="L9">
        <v>311</v>
      </c>
      <c r="M9">
        <v>0.622</v>
      </c>
      <c r="N9">
        <v>0.3</v>
      </c>
    </row>
    <row r="10" spans="1:14" x14ac:dyDescent="0.2">
      <c r="A10" t="s">
        <v>19</v>
      </c>
      <c r="B10" t="s">
        <v>51</v>
      </c>
      <c r="C10">
        <v>2</v>
      </c>
      <c r="D10" t="s">
        <v>52</v>
      </c>
      <c r="E10">
        <v>310</v>
      </c>
      <c r="F10">
        <v>0.33100000000000002</v>
      </c>
      <c r="G10">
        <v>0.28599999999999998</v>
      </c>
      <c r="I10" t="s">
        <v>19</v>
      </c>
      <c r="J10" t="s">
        <v>51</v>
      </c>
      <c r="K10">
        <v>2</v>
      </c>
      <c r="L10">
        <v>310</v>
      </c>
      <c r="M10">
        <v>0.33100000000000002</v>
      </c>
      <c r="N10">
        <v>0.28599999999999998</v>
      </c>
    </row>
    <row r="11" spans="1:14" x14ac:dyDescent="0.2">
      <c r="A11" t="s">
        <v>21</v>
      </c>
      <c r="B11" t="s">
        <v>47</v>
      </c>
      <c r="C11">
        <v>1</v>
      </c>
      <c r="D11" t="s">
        <v>11</v>
      </c>
      <c r="E11">
        <v>285</v>
      </c>
      <c r="F11">
        <v>0.371</v>
      </c>
      <c r="G11">
        <v>0.32600000000000001</v>
      </c>
      <c r="I11" t="s">
        <v>21</v>
      </c>
      <c r="J11" t="s">
        <v>47</v>
      </c>
      <c r="K11">
        <v>1</v>
      </c>
      <c r="L11">
        <v>285</v>
      </c>
      <c r="M11">
        <v>0.371</v>
      </c>
      <c r="N11">
        <v>0.32600000000000001</v>
      </c>
    </row>
    <row r="12" spans="1:14" x14ac:dyDescent="0.2">
      <c r="A12" t="s">
        <v>21</v>
      </c>
      <c r="B12" t="s">
        <v>49</v>
      </c>
      <c r="C12">
        <v>0</v>
      </c>
      <c r="D12" t="s">
        <v>55</v>
      </c>
      <c r="E12" s="4"/>
      <c r="I12" t="s">
        <v>21</v>
      </c>
      <c r="J12" t="s">
        <v>49</v>
      </c>
      <c r="K12">
        <v>0</v>
      </c>
      <c r="L12" s="4"/>
    </row>
    <row r="13" spans="1:14" x14ac:dyDescent="0.2">
      <c r="A13" t="s">
        <v>21</v>
      </c>
      <c r="B13" t="s">
        <v>51</v>
      </c>
      <c r="C13">
        <v>1</v>
      </c>
      <c r="D13" t="s">
        <v>22</v>
      </c>
      <c r="E13" s="2">
        <v>294</v>
      </c>
      <c r="F13">
        <v>0.22800000000000001</v>
      </c>
      <c r="G13">
        <v>0.42</v>
      </c>
      <c r="I13" t="s">
        <v>21</v>
      </c>
      <c r="J13" t="s">
        <v>51</v>
      </c>
      <c r="K13">
        <v>1</v>
      </c>
      <c r="L13" s="2">
        <v>294</v>
      </c>
      <c r="M13">
        <v>0.22800000000000001</v>
      </c>
      <c r="N13">
        <v>0.42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Indicator Summary Stats</vt:lpstr>
      <vt:lpstr>Cronbachs Alpha</vt:lpstr>
      <vt:lpstr>Sheet1</vt:lpstr>
      <vt:lpstr>Sheet2</vt:lpstr>
      <vt:lpstr>Pillar Aggregate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Sherick Sherick</cp:lastModifiedBy>
  <dcterms:created xsi:type="dcterms:W3CDTF">2026-08-22T14:37:37Z</dcterms:created>
  <dcterms:modified xsi:type="dcterms:W3CDTF">2026-08-23T16:10:32Z</dcterms:modified>
</cp:coreProperties>
</file>